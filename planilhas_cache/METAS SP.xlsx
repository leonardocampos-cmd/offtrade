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Drives compartilhados\Off Trade\Campanhas e Metas\METAS\"/>
    </mc:Choice>
  </mc:AlternateContent>
  <xr:revisionPtr revIDLastSave="0" documentId="13_ncr:1_{4A0D7273-F6E4-4E8E-A7B0-6026CD6E56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_VENDEDOR" sheetId="1" r:id="rId1"/>
    <sheet name="META_SUPERVISOR" sheetId="2" r:id="rId2"/>
    <sheet name="META_GERENTE" sheetId="3" r:id="rId3"/>
  </sheets>
  <externalReferences>
    <externalReference r:id="rId4"/>
  </externalReferences>
  <definedNames>
    <definedName name="_xlnm._FilterDatabase" localSheetId="0" hidden="1">META_VENDEDOR!$A$1:$O$1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7" i="1" l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56" i="1"/>
  <c r="L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56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0" i="1"/>
  <c r="D59" i="1"/>
  <c r="D58" i="1"/>
  <c r="D57" i="1"/>
  <c r="D56" i="1" l="1"/>
  <c r="D61" i="1"/>
</calcChain>
</file>

<file path=xl/sharedStrings.xml><?xml version="1.0" encoding="utf-8"?>
<sst xmlns="http://schemas.openxmlformats.org/spreadsheetml/2006/main" count="365" uniqueCount="95">
  <si>
    <t>RCA</t>
  </si>
  <si>
    <t>PESO POSITIVAÇÃO</t>
  </si>
  <si>
    <t>META POSITIVAÇÃO</t>
  </si>
  <si>
    <t>PESO FATURAMENTO PERNOD</t>
  </si>
  <si>
    <t xml:space="preserve">META FATURAMENTO PERNOD </t>
  </si>
  <si>
    <t>PESO FATURAMENTO CRS</t>
  </si>
  <si>
    <t xml:space="preserve">META FATURAMENTO CRS </t>
  </si>
  <si>
    <t xml:space="preserve">PESO FATURAMENTO ESSENZA </t>
  </si>
  <si>
    <t xml:space="preserve">META FATURAMENTO ESSENZA </t>
  </si>
  <si>
    <t>RENATO JUNIOR - OFF TRADE</t>
  </si>
  <si>
    <t xml:space="preserve">SP1 </t>
  </si>
  <si>
    <t>SP2</t>
  </si>
  <si>
    <t>SP3</t>
  </si>
  <si>
    <t>PRISCILLA BONACHE - OFF TRADE</t>
  </si>
  <si>
    <t>ANDRE SILVA - OFF TRADE</t>
  </si>
  <si>
    <t>CARLOS DE ALMEIDA - OFF TRADE</t>
  </si>
  <si>
    <t>MARCIA RITA - OFF TRADE</t>
  </si>
  <si>
    <t>PATRICIA RAMOS - OFF TRADE</t>
  </si>
  <si>
    <t>CLT</t>
  </si>
  <si>
    <t>RCA - ANTIGO</t>
  </si>
  <si>
    <t xml:space="preserve">RCA - NOVOS </t>
  </si>
  <si>
    <t>LEONARDO FLOREZI - OFF TRADE</t>
  </si>
  <si>
    <t>CARLOS TERRA - OFF TRADE</t>
  </si>
  <si>
    <t>ROBSON DA SILVA - OFF TRADE</t>
  </si>
  <si>
    <t>WANDO MACHADO - OFF TRADE</t>
  </si>
  <si>
    <t>JOAO LUPORINI - OFF TRADE</t>
  </si>
  <si>
    <t>BRUNO BARBOSA - OFF TRADE</t>
  </si>
  <si>
    <t>MARIO RAFAEL FERRARI - OFF TRADE</t>
  </si>
  <si>
    <t>MANUELA ZAPPACOSTA - OFF TRADE</t>
  </si>
  <si>
    <t>ADER ALONSO - OFF TRADE</t>
  </si>
  <si>
    <t>MARLENE RODRIGUES - OFF TRADE</t>
  </si>
  <si>
    <t>DANIELLE DOS SANTOS - OFF TRADE</t>
  </si>
  <si>
    <t>CRISTIANE MORAIS - OFF TRADE</t>
  </si>
  <si>
    <t>ROBERTO DOS SANTOS - OFF TRADE</t>
  </si>
  <si>
    <t>SUELY SANTOS - OFF TRADE</t>
  </si>
  <si>
    <t>CIARA PADULA - OFF TRADE</t>
  </si>
  <si>
    <t>PAULO JUNIOR - OFF TRADE</t>
  </si>
  <si>
    <t>FLAVIO RIBEIRO - OFF TRADE</t>
  </si>
  <si>
    <t>ANDRE PINHEIRO - OFF TRADE</t>
  </si>
  <si>
    <t>PATRICIO MASSAGARDI - OFF TRADE</t>
  </si>
  <si>
    <t>VITORIA VIEIRA - OFF TRADE</t>
  </si>
  <si>
    <t>MARIA PEREIRA - OFF TRADE</t>
  </si>
  <si>
    <t>ELIZANGELA RODRIGUES - OFF TRADE</t>
  </si>
  <si>
    <t>MARCELO PEREIRA - OFF TRADE</t>
  </si>
  <si>
    <t>FRANCIS SILVA - OFF TRADE</t>
  </si>
  <si>
    <t>LUCAS BUENO - OFF TRADE</t>
  </si>
  <si>
    <t>RODRIGO LIMA - OFF TRADE</t>
  </si>
  <si>
    <t>LUCIANO TOSCHI - OFF TRADE</t>
  </si>
  <si>
    <t>ADELINO SANTOS - OFF TRADE</t>
  </si>
  <si>
    <t>RENAN SOUZA - OFF TRADE</t>
  </si>
  <si>
    <t>SP 1</t>
  </si>
  <si>
    <t>SP 2</t>
  </si>
  <si>
    <t>SP 3</t>
  </si>
  <si>
    <t>MÊS</t>
  </si>
  <si>
    <t>FILIAL</t>
  </si>
  <si>
    <t>CONTRATO</t>
  </si>
  <si>
    <t>PESO FATURAMENTO</t>
  </si>
  <si>
    <t>META FATURAMENTO</t>
  </si>
  <si>
    <t>VENDEDOR</t>
  </si>
  <si>
    <t>ANDERSON CANAVEIS - OFF TRADE</t>
  </si>
  <si>
    <t>MARCUS TANAMACHI - OFF TRADE</t>
  </si>
  <si>
    <t>ALEXANDRE TONON - OFF TRADE</t>
  </si>
  <si>
    <t>ANDERSON MOTTA - OFF TRADE</t>
  </si>
  <si>
    <t>BRYAN PALOPOLI - OFF TRADE</t>
  </si>
  <si>
    <t>CAROLINA SOUZA - OFF TRADE</t>
  </si>
  <si>
    <t>DOUGLAS TEIXEIRA - OFF TRADE</t>
  </si>
  <si>
    <t>EDUARDO COUTO - OFF TRADE</t>
  </si>
  <si>
    <t>FERNANDO BERTIN - OFF TRADE</t>
  </si>
  <si>
    <t>GILSON DE OLIVEIRA - OFF TRADE</t>
  </si>
  <si>
    <t>LUIZ RIGLER - OFF TRADE</t>
  </si>
  <si>
    <t>ADRIANO VEZZANI - OFF TRADE</t>
  </si>
  <si>
    <t>NOME</t>
  </si>
  <si>
    <t>GERENTE</t>
  </si>
  <si>
    <t>SUPERVISOR</t>
  </si>
  <si>
    <t>META FATURAMENTO PERNOD</t>
  </si>
  <si>
    <t>META FATURAMENTO CRS</t>
  </si>
  <si>
    <t>META FATURAMENTO ESSENZA</t>
  </si>
  <si>
    <t>PESO FATURAMENTO ESSENZA</t>
  </si>
  <si>
    <t>MARCUS TANAMACHI</t>
  </si>
  <si>
    <t>PRISCILLA BONACHE</t>
  </si>
  <si>
    <t>ANDERSON CANAVEIS</t>
  </si>
  <si>
    <t>CELSO OLIVEIRA - OFF TRADE</t>
  </si>
  <si>
    <t>DEMETRIUS PELEGRINI - OFF TRADE</t>
  </si>
  <si>
    <t>GUSTAVO MARTINS - OFF TRADE</t>
  </si>
  <si>
    <t>JESSICA LIMA -  OFF TRADE</t>
  </si>
  <si>
    <t>JOSE SILVA - OFF TRADE</t>
  </si>
  <si>
    <t>LUIS MACHADO - OFF TRADE</t>
  </si>
  <si>
    <t>PAULO MOREIRA - OFF TRADE</t>
  </si>
  <si>
    <t>META FATURAMENTO CASTAS</t>
  </si>
  <si>
    <t>PESO FATURAMENTO CASTAS</t>
  </si>
  <si>
    <t>META FATURAMENTO ESSENZA + HOB</t>
  </si>
  <si>
    <t>PESO FATURAMENTO ESSENZA + HOB</t>
  </si>
  <si>
    <t>JOAQUIM ANGELO - OFF TRADE</t>
  </si>
  <si>
    <t>WILLIAM ROBERTO  - OFF TRADE</t>
  </si>
  <si>
    <t>SP1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</si>
</sst>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R$&quot;\ #,##0;\-&quot;R$&quot;\ #,##0"/>
    <numFmt numFmtId="44" formatCode="_-&quot;R$&quot;\ * #,##0.00_-;\-&quot;R$&quot;\ * #,##0.00_-;_-&quot;R$&quot;\ * &quot;-&quot;??_-;_-@_-"/>
    <numFmt numFmtId="164" formatCode="0.0%"/>
    <numFmt numFmtId="165" formatCode="&quot;R$&quot;\ #,##0.00"/>
    <numFmt numFmtId="166" formatCode="0.00%;\-0.00%;0.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1" applyNumberFormat="1" applyFont="1" applyFill="1" applyBorder="1" applyAlignment="1">
      <alignment horizontal="left"/>
    </xf>
    <xf numFmtId="9" fontId="2" fillId="2" borderId="1" xfId="1" applyFont="1" applyFill="1" applyBorder="1" applyAlignment="1">
      <alignment horizontal="left"/>
    </xf>
    <xf numFmtId="9" fontId="0" fillId="0" borderId="0" xfId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44" fontId="3" fillId="3" borderId="1" xfId="2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44" fontId="6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9" fontId="0" fillId="0" borderId="1" xfId="1" applyFon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7" fontId="0" fillId="0" borderId="1" xfId="0" applyNumberFormat="1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9" fontId="0" fillId="0" borderId="0" xfId="1" applyFont="1" applyAlignment="1">
      <alignment horizontal="left"/>
    </xf>
    <xf numFmtId="0" fontId="3" fillId="2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3" fillId="3" borderId="1" xfId="1" applyNumberFormat="1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vertical="top"/>
    </xf>
    <xf numFmtId="0" fontId="0" fillId="3" borderId="0" xfId="0" applyFill="1"/>
    <xf numFmtId="17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165" fontId="2" fillId="2" borderId="1" xfId="1" applyNumberFormat="1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</cellXfs>
  <cellStyles count="3">
    <cellStyle name="Moeda" xfId="2" builtinId="4"/>
    <cellStyle name="Normal" xfId="0" builtinId="0"/>
    <cellStyle name="Porcentagem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onardoCampos\AppData\Local\Microsoft\Olk\Attachments\ooa-0fb0fdc7-c4c9-4a88-ab38-88671f474bb0\298bbad2c7e99da42fef14c0fdb3506136945daff43ac513e897db13e32ee957\META%20JULHO.2026.xlsx" TargetMode="External"/><Relationship Id="rId1" Type="http://schemas.openxmlformats.org/officeDocument/2006/relationships/externalLinkPath" Target="file:///C:\Users\LeonardoCampos\AppData\Local\Microsoft\Olk\Attachments\ooa-0fb0fdc7-c4c9-4a88-ab38-88671f474bb0\298bbad2c7e99da42fef14c0fdb3506136945daff43ac513e897db13e32ee957\META%20JULHO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S JULHO"/>
    </sheetNames>
    <sheetDataSet>
      <sheetData sheetId="0">
        <row r="1">
          <cell r="A1" t="str">
            <v>SÃO PAULO</v>
          </cell>
        </row>
        <row r="2">
          <cell r="A2" t="str">
            <v>GERENTE  SP</v>
          </cell>
        </row>
        <row r="3">
          <cell r="A3" t="str">
            <v>NOME</v>
          </cell>
          <cell r="D3" t="str">
            <v>META FAT.</v>
          </cell>
          <cell r="F3" t="str">
            <v>PESO FAT.</v>
          </cell>
          <cell r="J3" t="str">
            <v>META FAT. ESSENZA + HOB</v>
          </cell>
          <cell r="L3" t="str">
            <v>PESO FAT. ESSENZA</v>
          </cell>
          <cell r="M3" t="str">
            <v>META FAT. PERNOD</v>
          </cell>
          <cell r="O3" t="str">
            <v>PESO FAT. PERNOD</v>
          </cell>
          <cell r="P3" t="str">
            <v>META FAT. CRS</v>
          </cell>
          <cell r="Q3" t="str">
            <v>REAL. FAT. CRS</v>
          </cell>
        </row>
        <row r="4">
          <cell r="A4" t="str">
            <v>MARCUS ALEXANDRE - OFFTRADE</v>
          </cell>
          <cell r="D4">
            <v>5300000</v>
          </cell>
          <cell r="F4">
            <v>0.7</v>
          </cell>
          <cell r="J4">
            <v>35000</v>
          </cell>
          <cell r="L4">
            <v>0.1</v>
          </cell>
          <cell r="M4">
            <v>3000000</v>
          </cell>
          <cell r="O4">
            <v>0.05</v>
          </cell>
          <cell r="P4">
            <v>300000</v>
          </cell>
        </row>
        <row r="6">
          <cell r="A6" t="str">
            <v>SUPERVISORES SP</v>
          </cell>
        </row>
        <row r="7">
          <cell r="A7" t="str">
            <v>NOME</v>
          </cell>
          <cell r="D7" t="str">
            <v>META FAT.</v>
          </cell>
          <cell r="F7" t="str">
            <v>PESO FAT.</v>
          </cell>
          <cell r="J7" t="str">
            <v>META FAT. ESSENZA + HOB</v>
          </cell>
          <cell r="L7" t="str">
            <v>PESO FAT. ESSENZA</v>
          </cell>
          <cell r="M7" t="str">
            <v>META FAT. PERNOD</v>
          </cell>
          <cell r="O7" t="str">
            <v>PESO FAT. PERNOD</v>
          </cell>
          <cell r="P7" t="str">
            <v>META FAT. CRS</v>
          </cell>
          <cell r="Q7" t="str">
            <v>REAL. FAT. CRS</v>
          </cell>
        </row>
        <row r="8">
          <cell r="A8" t="str">
            <v>VAGO</v>
          </cell>
          <cell r="D8">
            <v>1300000</v>
          </cell>
          <cell r="F8">
            <v>0.7</v>
          </cell>
          <cell r="J8">
            <v>15000</v>
          </cell>
          <cell r="L8">
            <v>0.05</v>
          </cell>
          <cell r="M8">
            <v>1000000</v>
          </cell>
          <cell r="O8">
            <v>0.1</v>
          </cell>
          <cell r="P8">
            <v>100000</v>
          </cell>
        </row>
        <row r="10">
          <cell r="A10" t="str">
            <v>NOME</v>
          </cell>
          <cell r="D10" t="str">
            <v>META FAT.</v>
          </cell>
          <cell r="F10" t="str">
            <v>PESO FAT.</v>
          </cell>
          <cell r="J10" t="str">
            <v>META FAT. ESSENZA + HOB</v>
          </cell>
          <cell r="L10" t="str">
            <v>PESO FAT. ESSENZA</v>
          </cell>
          <cell r="M10" t="str">
            <v>META FAT. PERNOD</v>
          </cell>
          <cell r="O10" t="str">
            <v>PESO FAT. PERNOD</v>
          </cell>
          <cell r="P10" t="str">
            <v>META FAT. CRS</v>
          </cell>
          <cell r="Q10" t="str">
            <v>REAL. FAT. CRS</v>
          </cell>
        </row>
        <row r="11">
          <cell r="A11" t="str">
            <v>ANDERSON CANAVEIS - OFF TRADE</v>
          </cell>
          <cell r="D11">
            <v>1800000</v>
          </cell>
          <cell r="F11">
            <v>0.7</v>
          </cell>
          <cell r="J11">
            <v>10000</v>
          </cell>
          <cell r="L11">
            <v>0.05</v>
          </cell>
          <cell r="M11">
            <v>1000000</v>
          </cell>
          <cell r="O11">
            <v>0.1</v>
          </cell>
          <cell r="P11">
            <v>100000</v>
          </cell>
        </row>
        <row r="13">
          <cell r="A13" t="str">
            <v>NOME</v>
          </cell>
          <cell r="D13" t="str">
            <v>META FAT.</v>
          </cell>
          <cell r="F13" t="str">
            <v>PESO FAT.</v>
          </cell>
          <cell r="J13" t="str">
            <v>META FAT. ESSENZA + HOB</v>
          </cell>
          <cell r="L13" t="str">
            <v>PESO FAT. ESSENZA</v>
          </cell>
          <cell r="M13" t="str">
            <v>META FAT. PERNOD</v>
          </cell>
          <cell r="O13" t="str">
            <v>PESO FAT. PERNOD</v>
          </cell>
          <cell r="P13" t="str">
            <v>META FAT. CRS</v>
          </cell>
          <cell r="Q13" t="str">
            <v>REAL. FAT. CRS</v>
          </cell>
        </row>
        <row r="14">
          <cell r="A14" t="str">
            <v>PRISCILLA BONACHE - OFF TRADE</v>
          </cell>
          <cell r="D14">
            <v>2200000</v>
          </cell>
          <cell r="F14">
            <v>0.7</v>
          </cell>
          <cell r="J14">
            <v>10000</v>
          </cell>
          <cell r="L14">
            <v>0.05</v>
          </cell>
          <cell r="M14">
            <v>1000000</v>
          </cell>
          <cell r="O14">
            <v>0.1</v>
          </cell>
          <cell r="P14">
            <v>100000</v>
          </cell>
        </row>
        <row r="15">
          <cell r="D15">
            <v>5300000</v>
          </cell>
          <cell r="J15">
            <v>35000</v>
          </cell>
          <cell r="M15">
            <v>3000000</v>
          </cell>
          <cell r="P15">
            <v>300000</v>
          </cell>
        </row>
        <row r="16">
          <cell r="A16" t="str">
            <v>VENDEDOR CLT SP</v>
          </cell>
        </row>
        <row r="17">
          <cell r="A17" t="str">
            <v>NOME</v>
          </cell>
          <cell r="D17" t="str">
            <v>META FAT.</v>
          </cell>
          <cell r="F17" t="str">
            <v>PESO FAT.</v>
          </cell>
          <cell r="J17" t="str">
            <v>META FAT. ESSENZA + HOB</v>
          </cell>
          <cell r="L17" t="str">
            <v>PESO FAT. ESSENZA</v>
          </cell>
          <cell r="M17" t="str">
            <v>META FAT. PERNOD</v>
          </cell>
          <cell r="O17" t="str">
            <v>PESO FAT. PERNOD</v>
          </cell>
          <cell r="P17" t="str">
            <v>META FAT. CRS</v>
          </cell>
          <cell r="Q17" t="str">
            <v>REAL. FAT. CRS</v>
          </cell>
          <cell r="V17" t="str">
            <v>META POSIT.</v>
          </cell>
          <cell r="X17" t="str">
            <v>ATING. POSIT.</v>
          </cell>
        </row>
        <row r="18">
          <cell r="A18" t="str">
            <v>JOAQUIM ANGELO - OFF TRADE</v>
          </cell>
          <cell r="D18">
            <v>50000</v>
          </cell>
          <cell r="F18">
            <v>0.55000000000000004</v>
          </cell>
          <cell r="J18">
            <v>2000</v>
          </cell>
          <cell r="L18">
            <v>0.05</v>
          </cell>
          <cell r="M18">
            <v>10000</v>
          </cell>
          <cell r="O18">
            <v>0.1</v>
          </cell>
          <cell r="P18">
            <v>5000</v>
          </cell>
          <cell r="V18">
            <v>10</v>
          </cell>
          <cell r="X18">
            <v>0.05</v>
          </cell>
        </row>
        <row r="19">
          <cell r="A19" t="str">
            <v>RENATO JUNIOR - OFF TRADE</v>
          </cell>
          <cell r="D19">
            <v>200000</v>
          </cell>
          <cell r="F19">
            <v>0.55000000000000004</v>
          </cell>
          <cell r="J19">
            <v>6000</v>
          </cell>
          <cell r="L19">
            <v>0.05</v>
          </cell>
          <cell r="M19">
            <v>120000</v>
          </cell>
          <cell r="O19">
            <v>0.1</v>
          </cell>
          <cell r="P19">
            <v>40000</v>
          </cell>
          <cell r="V19">
            <v>20</v>
          </cell>
          <cell r="X19">
            <v>0.05</v>
          </cell>
        </row>
        <row r="20">
          <cell r="A20" t="str">
            <v>ANDERSON CANAVEIS - OFF TRADE</v>
          </cell>
          <cell r="D20">
            <v>900000</v>
          </cell>
          <cell r="F20">
            <v>0.55000000000000004</v>
          </cell>
          <cell r="M20">
            <v>900000</v>
          </cell>
          <cell r="V20">
            <v>1</v>
          </cell>
        </row>
        <row r="21">
          <cell r="A21" t="str">
            <v>ANDRE SILVA - OFF TRADE</v>
          </cell>
          <cell r="D21">
            <v>400000</v>
          </cell>
          <cell r="F21">
            <v>0.55000000000000004</v>
          </cell>
          <cell r="J21">
            <v>5000</v>
          </cell>
          <cell r="L21">
            <v>0.05</v>
          </cell>
          <cell r="M21">
            <v>200000</v>
          </cell>
          <cell r="O21">
            <v>0.1</v>
          </cell>
          <cell r="P21">
            <v>40000</v>
          </cell>
          <cell r="V21">
            <v>20</v>
          </cell>
          <cell r="X21">
            <v>0.05</v>
          </cell>
        </row>
        <row r="22">
          <cell r="A22" t="str">
            <v>CARLOS DE ALMEIDA - OFF TRADE</v>
          </cell>
          <cell r="D22">
            <v>400000</v>
          </cell>
          <cell r="F22">
            <v>0.55000000000000004</v>
          </cell>
          <cell r="J22">
            <v>5000</v>
          </cell>
          <cell r="L22">
            <v>0.05</v>
          </cell>
          <cell r="M22">
            <v>250000</v>
          </cell>
          <cell r="O22">
            <v>0.1</v>
          </cell>
          <cell r="P22">
            <v>40000</v>
          </cell>
          <cell r="V22">
            <v>20</v>
          </cell>
          <cell r="X22">
            <v>0.05</v>
          </cell>
        </row>
        <row r="23">
          <cell r="A23" t="str">
            <v>WILLIAM ROBERTO  - OFF TRADE</v>
          </cell>
          <cell r="D23">
            <v>80000</v>
          </cell>
          <cell r="F23">
            <v>0.55000000000000004</v>
          </cell>
          <cell r="J23">
            <v>2000</v>
          </cell>
          <cell r="L23">
            <v>0.05</v>
          </cell>
          <cell r="M23">
            <v>20000</v>
          </cell>
          <cell r="O23">
            <v>0.1</v>
          </cell>
          <cell r="P23">
            <v>10000</v>
          </cell>
          <cell r="V23">
            <v>20</v>
          </cell>
          <cell r="X23">
            <v>0.05</v>
          </cell>
        </row>
        <row r="24">
          <cell r="A24" t="str">
            <v>PRISCILLA BONACHE - OFF TRADE</v>
          </cell>
          <cell r="D24">
            <v>700000</v>
          </cell>
          <cell r="F24">
            <v>0.55000000000000004</v>
          </cell>
          <cell r="M24">
            <v>600000</v>
          </cell>
          <cell r="V24">
            <v>1</v>
          </cell>
        </row>
        <row r="25">
          <cell r="A25" t="str">
            <v>LEONARDO FLOREZI - OFF TRADE</v>
          </cell>
          <cell r="D25">
            <v>110000</v>
          </cell>
          <cell r="F25">
            <v>0.55000000000000004</v>
          </cell>
          <cell r="J25">
            <v>5000</v>
          </cell>
          <cell r="L25">
            <v>0.05</v>
          </cell>
          <cell r="M25">
            <v>50000</v>
          </cell>
          <cell r="O25">
            <v>0.1</v>
          </cell>
          <cell r="P25">
            <v>20000</v>
          </cell>
          <cell r="V25">
            <v>20</v>
          </cell>
          <cell r="X25">
            <v>0.05</v>
          </cell>
        </row>
        <row r="26">
          <cell r="A26" t="str">
            <v>PATRICIA RAMOS - OFF TRADE</v>
          </cell>
          <cell r="D26">
            <v>110000</v>
          </cell>
          <cell r="F26">
            <v>0.55000000000000004</v>
          </cell>
          <cell r="J26">
            <v>5000</v>
          </cell>
          <cell r="L26">
            <v>0.05</v>
          </cell>
          <cell r="M26">
            <v>50000</v>
          </cell>
          <cell r="O26">
            <v>0.1</v>
          </cell>
          <cell r="P26">
            <v>20000</v>
          </cell>
          <cell r="V26">
            <v>20</v>
          </cell>
          <cell r="X26">
            <v>0.05</v>
          </cell>
        </row>
        <row r="27">
          <cell r="D27">
            <v>2950000</v>
          </cell>
          <cell r="J27">
            <v>30000</v>
          </cell>
          <cell r="M27">
            <v>2200000</v>
          </cell>
          <cell r="P27">
            <v>175000</v>
          </cell>
          <cell r="V27">
            <v>132</v>
          </cell>
        </row>
        <row r="30">
          <cell r="A30" t="str">
            <v>META RCA ANTIGO SP</v>
          </cell>
        </row>
        <row r="31">
          <cell r="A31" t="str">
            <v>NOME</v>
          </cell>
          <cell r="D31" t="str">
            <v>META FAT.</v>
          </cell>
          <cell r="F31" t="str">
            <v>PESO FAT.</v>
          </cell>
          <cell r="J31" t="str">
            <v>META FAT. ESSENZA + HOB</v>
          </cell>
          <cell r="L31" t="str">
            <v>PESO FAT. ESSENZA</v>
          </cell>
          <cell r="M31" t="str">
            <v>META FAT. PERNOD</v>
          </cell>
          <cell r="O31" t="str">
            <v>PESO FAT. PERNOD</v>
          </cell>
          <cell r="P31" t="str">
            <v>META FAT. CRS</v>
          </cell>
          <cell r="Q31" t="str">
            <v>REAL. FAT. CRS</v>
          </cell>
          <cell r="V31" t="str">
            <v>META POSIT.</v>
          </cell>
          <cell r="X31" t="str">
            <v>ATING. POSIT.</v>
          </cell>
        </row>
        <row r="32">
          <cell r="A32" t="str">
            <v>CARLOS TERRA - OFF TRADE</v>
          </cell>
          <cell r="D32">
            <v>120000</v>
          </cell>
          <cell r="V32">
            <v>1</v>
          </cell>
        </row>
        <row r="33">
          <cell r="A33" t="str">
            <v>ROBSON DA SILVA - OFF TRADE</v>
          </cell>
          <cell r="D33">
            <v>70000</v>
          </cell>
          <cell r="M33">
            <v>30000</v>
          </cell>
          <cell r="V33">
            <v>15</v>
          </cell>
        </row>
        <row r="34">
          <cell r="A34" t="str">
            <v>JOAO LUPORINI - OFF TRADE</v>
          </cell>
          <cell r="D34">
            <v>10000</v>
          </cell>
          <cell r="J34">
            <v>1000</v>
          </cell>
          <cell r="V34">
            <v>3</v>
          </cell>
        </row>
        <row r="35">
          <cell r="A35" t="str">
            <v>ADER ALONSO - OFF TRADE</v>
          </cell>
          <cell r="D35">
            <v>500000</v>
          </cell>
          <cell r="M35">
            <v>200000</v>
          </cell>
          <cell r="P35">
            <v>15000</v>
          </cell>
          <cell r="V35">
            <v>40</v>
          </cell>
        </row>
        <row r="36">
          <cell r="A36" t="str">
            <v>BRUNO BARBOSA - OFF TRADE</v>
          </cell>
          <cell r="D36">
            <v>70000</v>
          </cell>
          <cell r="M36">
            <v>30000</v>
          </cell>
          <cell r="V36">
            <v>20</v>
          </cell>
        </row>
        <row r="37">
          <cell r="A37" t="str">
            <v>MANUELA ZAPPACOSTA - OFF TRADE</v>
          </cell>
          <cell r="D37">
            <v>250000</v>
          </cell>
          <cell r="M37">
            <v>100000</v>
          </cell>
          <cell r="P37">
            <v>5000</v>
          </cell>
          <cell r="V37">
            <v>40</v>
          </cell>
        </row>
        <row r="38">
          <cell r="A38" t="str">
            <v>MARIO RAFAEL FERRARI - OFF TRADE</v>
          </cell>
          <cell r="D38">
            <v>30000</v>
          </cell>
          <cell r="V38">
            <v>5</v>
          </cell>
        </row>
        <row r="39">
          <cell r="D39">
            <v>1050000</v>
          </cell>
          <cell r="J39">
            <v>1000</v>
          </cell>
          <cell r="M39">
            <v>360000</v>
          </cell>
          <cell r="P39">
            <v>20000</v>
          </cell>
          <cell r="V39">
            <v>124</v>
          </cell>
        </row>
        <row r="41">
          <cell r="A41" t="str">
            <v xml:space="preserve"> RCA NOVOS SP</v>
          </cell>
        </row>
        <row r="42">
          <cell r="A42" t="str">
            <v>NOME</v>
          </cell>
          <cell r="D42" t="str">
            <v>META FAT.</v>
          </cell>
          <cell r="F42" t="str">
            <v>PESO FAT.</v>
          </cell>
          <cell r="J42" t="str">
            <v>META FAT. ESSENZA + HOB</v>
          </cell>
          <cell r="L42" t="str">
            <v>PESO FAT. ESSENZA</v>
          </cell>
          <cell r="M42" t="str">
            <v>META FAT. PERNOD</v>
          </cell>
          <cell r="O42" t="str">
            <v>PESO FAT. PERNOD</v>
          </cell>
          <cell r="P42" t="str">
            <v>META FAT. CRS</v>
          </cell>
          <cell r="Q42" t="str">
            <v>REAL. FAT. CRS</v>
          </cell>
          <cell r="V42" t="str">
            <v>META POSIT.</v>
          </cell>
          <cell r="X42" t="str">
            <v>ATING. POSIT.</v>
          </cell>
        </row>
        <row r="43">
          <cell r="A43" t="str">
            <v>ANDERSON MOTTA - OFF TRADE</v>
          </cell>
          <cell r="D43">
            <v>30000</v>
          </cell>
          <cell r="J43">
            <v>1000</v>
          </cell>
          <cell r="M43">
            <v>10000</v>
          </cell>
          <cell r="P43">
            <v>5000</v>
          </cell>
          <cell r="V43">
            <v>20</v>
          </cell>
        </row>
        <row r="44">
          <cell r="A44" t="str">
            <v>BRYAN PALOPOLI - OFF TRADE</v>
          </cell>
          <cell r="D44">
            <v>20000</v>
          </cell>
          <cell r="J44">
            <v>5000</v>
          </cell>
          <cell r="V44">
            <v>2</v>
          </cell>
        </row>
        <row r="45">
          <cell r="A45" t="str">
            <v>CAROLINA SOUZA - OFF TRADE</v>
          </cell>
          <cell r="D45">
            <v>50000</v>
          </cell>
          <cell r="J45">
            <v>1000</v>
          </cell>
          <cell r="M45">
            <v>30000</v>
          </cell>
          <cell r="P45">
            <v>10000</v>
          </cell>
          <cell r="V45">
            <v>30</v>
          </cell>
        </row>
        <row r="46">
          <cell r="A46" t="str">
            <v>CIARA PADULA - OFF TRADE</v>
          </cell>
          <cell r="D46">
            <v>50000</v>
          </cell>
          <cell r="M46">
            <v>20000</v>
          </cell>
          <cell r="P46">
            <v>5000</v>
          </cell>
          <cell r="V46">
            <v>20</v>
          </cell>
        </row>
        <row r="47">
          <cell r="A47" t="str">
            <v>CRISTIANE MORAIS - OFF TRADE</v>
          </cell>
          <cell r="D47">
            <v>160000</v>
          </cell>
          <cell r="J47">
            <v>1000</v>
          </cell>
          <cell r="M47">
            <v>70000</v>
          </cell>
          <cell r="P47">
            <v>10000</v>
          </cell>
          <cell r="V47">
            <v>40</v>
          </cell>
        </row>
        <row r="48">
          <cell r="A48" t="str">
            <v>DANIELLE DOS SANTOS - OFF TRADE</v>
          </cell>
          <cell r="D48">
            <v>50000</v>
          </cell>
          <cell r="J48">
            <v>1000</v>
          </cell>
          <cell r="M48">
            <v>15000</v>
          </cell>
          <cell r="P48">
            <v>5000</v>
          </cell>
          <cell r="V48">
            <v>20</v>
          </cell>
        </row>
        <row r="49">
          <cell r="A49" t="str">
            <v>FLAVIO RIBEIRO - OFF TRADE</v>
          </cell>
          <cell r="D49">
            <v>50000</v>
          </cell>
          <cell r="M49">
            <v>15000</v>
          </cell>
          <cell r="P49">
            <v>3000</v>
          </cell>
          <cell r="V49">
            <v>20</v>
          </cell>
        </row>
        <row r="50">
          <cell r="A50" t="str">
            <v>PAULO JUNIOR - OFF TRADE</v>
          </cell>
          <cell r="D50">
            <v>30000</v>
          </cell>
          <cell r="M50">
            <v>15000</v>
          </cell>
          <cell r="P50">
            <v>3000</v>
          </cell>
          <cell r="V50">
            <v>20</v>
          </cell>
        </row>
        <row r="51">
          <cell r="A51" t="str">
            <v>ROBERTO DOS SANTOS - OFF TRADE</v>
          </cell>
          <cell r="D51">
            <v>60000</v>
          </cell>
          <cell r="J51">
            <v>1000</v>
          </cell>
          <cell r="M51">
            <v>30000</v>
          </cell>
          <cell r="P51">
            <v>5000</v>
          </cell>
          <cell r="V51">
            <v>30</v>
          </cell>
        </row>
        <row r="52">
          <cell r="A52" t="str">
            <v>SUELY SANTOS - OFF TRADE</v>
          </cell>
          <cell r="D52">
            <v>110000</v>
          </cell>
          <cell r="J52">
            <v>1000</v>
          </cell>
          <cell r="M52">
            <v>50000</v>
          </cell>
          <cell r="P52">
            <v>5000</v>
          </cell>
          <cell r="V52">
            <v>30</v>
          </cell>
        </row>
        <row r="53">
          <cell r="A53" t="str">
            <v>MARLENE RODRIGUES - OFF TRADE</v>
          </cell>
          <cell r="D53">
            <v>90000</v>
          </cell>
          <cell r="J53">
            <v>1000</v>
          </cell>
          <cell r="M53">
            <v>40000</v>
          </cell>
          <cell r="P53">
            <v>10000</v>
          </cell>
          <cell r="V53">
            <v>20</v>
          </cell>
        </row>
        <row r="54">
          <cell r="A54" t="str">
            <v>ALEXANDRE TONON - OFF TRADE</v>
          </cell>
          <cell r="D54">
            <v>10000</v>
          </cell>
          <cell r="M54">
            <v>5000</v>
          </cell>
          <cell r="V54">
            <v>4</v>
          </cell>
        </row>
        <row r="55">
          <cell r="A55" t="str">
            <v>DEMETRIUS PELEGRINI - OFF TRADE</v>
          </cell>
          <cell r="D55">
            <v>30000</v>
          </cell>
          <cell r="M55">
            <v>5000</v>
          </cell>
          <cell r="V55">
            <v>20</v>
          </cell>
        </row>
        <row r="56">
          <cell r="A56" t="str">
            <v>EDUARDO COUTO - OFF TRADE</v>
          </cell>
          <cell r="D56">
            <v>30000</v>
          </cell>
          <cell r="M56">
            <v>20000</v>
          </cell>
          <cell r="P56">
            <v>5000</v>
          </cell>
          <cell r="V56">
            <v>20</v>
          </cell>
        </row>
        <row r="57">
          <cell r="A57" t="str">
            <v>GUSTAVO MARTINS - OFF TRADE</v>
          </cell>
          <cell r="D57">
            <v>50000</v>
          </cell>
          <cell r="J57">
            <v>2000</v>
          </cell>
          <cell r="M57">
            <v>30000</v>
          </cell>
          <cell r="P57">
            <v>3000</v>
          </cell>
          <cell r="V57">
            <v>30</v>
          </cell>
        </row>
        <row r="58">
          <cell r="A58" t="str">
            <v>JOSE SILVA - OFF TRADE</v>
          </cell>
          <cell r="D58">
            <v>30000</v>
          </cell>
          <cell r="J58">
            <v>1000</v>
          </cell>
          <cell r="M58">
            <v>20000</v>
          </cell>
          <cell r="P58">
            <v>1000</v>
          </cell>
          <cell r="V58">
            <v>20</v>
          </cell>
        </row>
        <row r="59">
          <cell r="A59" t="str">
            <v>LUIS MACHADO - OFF TRADE</v>
          </cell>
          <cell r="D59">
            <v>30000</v>
          </cell>
          <cell r="J59">
            <v>1000</v>
          </cell>
          <cell r="M59">
            <v>20000</v>
          </cell>
          <cell r="P59">
            <v>3000</v>
          </cell>
          <cell r="V59">
            <v>20</v>
          </cell>
        </row>
        <row r="60">
          <cell r="A60" t="str">
            <v>MARIA PEREIRA - OFF TRADE</v>
          </cell>
          <cell r="D60">
            <v>10000</v>
          </cell>
          <cell r="M60">
            <v>5000</v>
          </cell>
          <cell r="V60">
            <v>2</v>
          </cell>
        </row>
        <row r="61">
          <cell r="A61" t="str">
            <v>PATRICIO MASSAGARDI - OFF TRADE</v>
          </cell>
          <cell r="D61">
            <v>10000</v>
          </cell>
          <cell r="J61">
            <v>500</v>
          </cell>
          <cell r="M61">
            <v>5000</v>
          </cell>
          <cell r="P61">
            <v>1000</v>
          </cell>
          <cell r="V61">
            <v>10</v>
          </cell>
        </row>
        <row r="62">
          <cell r="A62" t="str">
            <v>PAULO MOREIRA - OFF TRADE</v>
          </cell>
          <cell r="D62">
            <v>20000</v>
          </cell>
          <cell r="J62">
            <v>1000</v>
          </cell>
          <cell r="M62">
            <v>5000</v>
          </cell>
          <cell r="P62">
            <v>5000</v>
          </cell>
          <cell r="V62">
            <v>10</v>
          </cell>
        </row>
        <row r="63">
          <cell r="A63" t="str">
            <v>ADRIANO VEZZANI - OFF TRADE</v>
          </cell>
          <cell r="D63">
            <v>50000</v>
          </cell>
          <cell r="J63">
            <v>1000</v>
          </cell>
          <cell r="M63">
            <v>5000</v>
          </cell>
          <cell r="V63">
            <v>15</v>
          </cell>
        </row>
        <row r="64">
          <cell r="A64" t="str">
            <v>CELSO OLIVEIRA - OFF TRADE</v>
          </cell>
          <cell r="D64">
            <v>50000</v>
          </cell>
          <cell r="J64">
            <v>1000</v>
          </cell>
          <cell r="M64">
            <v>5000</v>
          </cell>
          <cell r="P64">
            <v>2000</v>
          </cell>
          <cell r="V64">
            <v>20</v>
          </cell>
        </row>
        <row r="65">
          <cell r="A65" t="str">
            <v>DOUGLAS TEIXEIRA - OFF TRADE</v>
          </cell>
          <cell r="D65">
            <v>50000</v>
          </cell>
          <cell r="M65">
            <v>5000</v>
          </cell>
          <cell r="P65">
            <v>5000</v>
          </cell>
          <cell r="V65">
            <v>20</v>
          </cell>
        </row>
        <row r="66">
          <cell r="A66" t="str">
            <v>ELIZANGELA RODRIGUES - OFF TRADE</v>
          </cell>
          <cell r="D66">
            <v>160000</v>
          </cell>
          <cell r="M66">
            <v>100000</v>
          </cell>
          <cell r="V66">
            <v>1</v>
          </cell>
        </row>
        <row r="67">
          <cell r="A67" t="str">
            <v>FERNANDO BERTIN - OFF TRADE</v>
          </cell>
          <cell r="D67">
            <v>50000</v>
          </cell>
          <cell r="J67">
            <v>1000</v>
          </cell>
          <cell r="M67">
            <v>10000</v>
          </cell>
          <cell r="P67">
            <v>3000</v>
          </cell>
          <cell r="V67">
            <v>20</v>
          </cell>
        </row>
        <row r="68">
          <cell r="A68" t="str">
            <v>FRANCIS SILVA - OFF TRADE</v>
          </cell>
          <cell r="D68">
            <v>50000</v>
          </cell>
          <cell r="M68">
            <v>5000</v>
          </cell>
          <cell r="V68">
            <v>20</v>
          </cell>
        </row>
        <row r="69">
          <cell r="A69" t="str">
            <v>GILSON DE OLIVEIRA - OFF TRADE</v>
          </cell>
          <cell r="D69">
            <v>50000</v>
          </cell>
          <cell r="J69">
            <v>2000</v>
          </cell>
          <cell r="M69">
            <v>10000</v>
          </cell>
          <cell r="P69">
            <v>5000</v>
          </cell>
          <cell r="V69">
            <v>20</v>
          </cell>
        </row>
        <row r="70">
          <cell r="A70" t="str">
            <v>LUCAS BUENO - OFF TRADE</v>
          </cell>
          <cell r="D70">
            <v>10000</v>
          </cell>
          <cell r="J70">
            <v>1000</v>
          </cell>
          <cell r="M70">
            <v>5000</v>
          </cell>
          <cell r="V70">
            <v>10</v>
          </cell>
        </row>
        <row r="71">
          <cell r="A71" t="str">
            <v>LUCIANO TOSCHI - OFF TRADE</v>
          </cell>
          <cell r="D71">
            <v>30000</v>
          </cell>
          <cell r="J71">
            <v>1000</v>
          </cell>
          <cell r="M71">
            <v>10000</v>
          </cell>
          <cell r="P71">
            <v>5000</v>
          </cell>
          <cell r="V71">
            <v>20</v>
          </cell>
        </row>
        <row r="72">
          <cell r="A72" t="str">
            <v>LUIZ RIGLER - OFF TRADE</v>
          </cell>
          <cell r="D72">
            <v>20000</v>
          </cell>
          <cell r="M72">
            <v>10000</v>
          </cell>
          <cell r="P72">
            <v>5000</v>
          </cell>
          <cell r="V72">
            <v>20</v>
          </cell>
        </row>
        <row r="73">
          <cell r="A73" t="str">
            <v>MARCELO PEREIRA - OFF TRADE</v>
          </cell>
          <cell r="D73">
            <v>30000</v>
          </cell>
          <cell r="J73">
            <v>1000</v>
          </cell>
          <cell r="M73">
            <v>5000</v>
          </cell>
          <cell r="P73">
            <v>2000</v>
          </cell>
          <cell r="V73">
            <v>10</v>
          </cell>
        </row>
        <row r="74">
          <cell r="A74" t="str">
            <v>RODRIGO LIMA - OFF TRADE</v>
          </cell>
          <cell r="D74">
            <v>130000</v>
          </cell>
          <cell r="J74">
            <v>2000</v>
          </cell>
          <cell r="M74">
            <v>50000</v>
          </cell>
          <cell r="P74">
            <v>10000</v>
          </cell>
          <cell r="V74">
            <v>40</v>
          </cell>
        </row>
        <row r="76">
          <cell r="D76">
            <v>1600000</v>
          </cell>
          <cell r="J76">
            <v>27500</v>
          </cell>
          <cell r="M76">
            <v>630000</v>
          </cell>
          <cell r="P76">
            <v>116000</v>
          </cell>
          <cell r="V76">
            <v>604</v>
          </cell>
        </row>
        <row r="78">
          <cell r="D78" t="str">
            <v>TOTAL</v>
          </cell>
        </row>
        <row r="80">
          <cell r="D80">
            <v>5600000</v>
          </cell>
          <cell r="J80">
            <v>58500</v>
          </cell>
          <cell r="M80">
            <v>3190000</v>
          </cell>
          <cell r="P80">
            <v>311000</v>
          </cell>
          <cell r="V80">
            <v>860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"/>
  <sheetViews>
    <sheetView showGridLines="0" tabSelected="1" workbookViewId="0">
      <pane xSplit="4" ySplit="1" topLeftCell="K80" activePane="bottomRight" state="frozen"/>
      <selection pane="topRight" activeCell="E1" sqref="E1"/>
      <selection pane="bottomLeft" activeCell="A2" sqref="A2"/>
      <selection pane="bottomRight" activeCell="M88" sqref="M88"/>
    </sheetView>
  </sheetViews>
  <sheetFormatPr defaultRowHeight="14.4" x14ac:dyDescent="0.3"/>
  <cols>
    <col min="1" max="1" width="5.44140625" bestFit="1" customWidth="1"/>
    <col min="2" max="2" width="12.44140625" bestFit="1" customWidth="1"/>
    <col min="3" max="3" width="32.33203125" style="35" bestFit="1" customWidth="1"/>
    <col min="4" max="4" width="5.33203125" bestFit="1" customWidth="1"/>
    <col min="5" max="5" width="18.109375" style="3" bestFit="1" customWidth="1"/>
    <col min="6" max="6" width="18.5546875" bestFit="1" customWidth="1"/>
    <col min="7" max="7" width="16.5546875" bestFit="1" customWidth="1"/>
    <col min="8" max="8" width="17" bestFit="1" customWidth="1"/>
    <col min="9" max="9" width="25.5546875" style="3" bestFit="1" customWidth="1"/>
    <col min="10" max="10" width="26.44140625" style="40" bestFit="1" customWidth="1"/>
    <col min="11" max="11" width="21.6640625" bestFit="1" customWidth="1"/>
    <col min="12" max="12" width="22.5546875" style="40" bestFit="1" customWidth="1"/>
    <col min="13" max="13" width="26" style="3" bestFit="1" customWidth="1"/>
    <col min="14" max="14" width="26.44140625" bestFit="1" customWidth="1"/>
    <col min="15" max="15" width="6.21875" bestFit="1" customWidth="1"/>
  </cols>
  <sheetData>
    <row r="1" spans="1:15" x14ac:dyDescent="0.3">
      <c r="A1" s="28" t="s">
        <v>54</v>
      </c>
      <c r="B1" s="28" t="s">
        <v>55</v>
      </c>
      <c r="C1" s="31" t="s">
        <v>58</v>
      </c>
      <c r="D1" s="28" t="s">
        <v>0</v>
      </c>
      <c r="E1" s="2" t="s">
        <v>56</v>
      </c>
      <c r="F1" s="1" t="s">
        <v>57</v>
      </c>
      <c r="G1" s="1" t="s">
        <v>1</v>
      </c>
      <c r="H1" s="1" t="s">
        <v>2</v>
      </c>
      <c r="I1" s="2" t="s">
        <v>3</v>
      </c>
      <c r="J1" s="38" t="s">
        <v>4</v>
      </c>
      <c r="K1" s="1" t="s">
        <v>5</v>
      </c>
      <c r="L1" s="38" t="s">
        <v>6</v>
      </c>
      <c r="M1" s="2" t="s">
        <v>7</v>
      </c>
      <c r="N1" s="1" t="s">
        <v>8</v>
      </c>
      <c r="O1" s="1" t="s">
        <v>53</v>
      </c>
    </row>
    <row r="2" spans="1:15" x14ac:dyDescent="0.3">
      <c r="A2" s="29" t="s">
        <v>52</v>
      </c>
      <c r="B2" s="29" t="s">
        <v>20</v>
      </c>
      <c r="C2" s="32" t="s">
        <v>48</v>
      </c>
      <c r="D2" s="29">
        <v>479</v>
      </c>
      <c r="E2" s="22">
        <v>0</v>
      </c>
      <c r="F2" s="23">
        <v>20000</v>
      </c>
      <c r="G2" s="21">
        <v>0</v>
      </c>
      <c r="H2" s="21">
        <v>10</v>
      </c>
      <c r="I2" s="22">
        <v>0</v>
      </c>
      <c r="J2" s="23">
        <v>10000</v>
      </c>
      <c r="K2" s="21">
        <v>0</v>
      </c>
      <c r="L2" s="23">
        <v>0</v>
      </c>
      <c r="M2" s="22">
        <v>0</v>
      </c>
      <c r="N2" s="23">
        <v>0</v>
      </c>
      <c r="O2" s="24">
        <v>46174</v>
      </c>
    </row>
    <row r="3" spans="1:15" x14ac:dyDescent="0.3">
      <c r="A3" s="29" t="s">
        <v>12</v>
      </c>
      <c r="B3" s="29" t="s">
        <v>19</v>
      </c>
      <c r="C3" s="32" t="s">
        <v>29</v>
      </c>
      <c r="D3" s="29">
        <v>426</v>
      </c>
      <c r="E3" s="22">
        <v>0</v>
      </c>
      <c r="F3" s="23">
        <v>800000</v>
      </c>
      <c r="G3" s="25">
        <v>0</v>
      </c>
      <c r="H3" s="21">
        <v>40</v>
      </c>
      <c r="I3" s="22">
        <v>0</v>
      </c>
      <c r="J3" s="23">
        <v>600000</v>
      </c>
      <c r="K3" s="25">
        <v>0</v>
      </c>
      <c r="L3" s="23">
        <v>10000</v>
      </c>
      <c r="M3" s="22">
        <v>0.05</v>
      </c>
      <c r="N3" s="23">
        <v>0</v>
      </c>
      <c r="O3" s="24">
        <v>46174</v>
      </c>
    </row>
    <row r="4" spans="1:15" x14ac:dyDescent="0.3">
      <c r="A4" s="29" t="s">
        <v>11</v>
      </c>
      <c r="B4" s="29" t="s">
        <v>18</v>
      </c>
      <c r="C4" s="32" t="s">
        <v>59</v>
      </c>
      <c r="D4" s="29">
        <v>232</v>
      </c>
      <c r="E4" s="22">
        <v>0</v>
      </c>
      <c r="F4" s="23">
        <v>800000</v>
      </c>
      <c r="G4" s="25">
        <v>0</v>
      </c>
      <c r="H4" s="21">
        <v>1</v>
      </c>
      <c r="I4" s="22">
        <v>0</v>
      </c>
      <c r="J4" s="23">
        <v>800000</v>
      </c>
      <c r="K4" s="25">
        <v>0</v>
      </c>
      <c r="L4" s="23">
        <v>0</v>
      </c>
      <c r="M4" s="22">
        <v>0</v>
      </c>
      <c r="N4" s="23">
        <v>0</v>
      </c>
      <c r="O4" s="24">
        <v>46174</v>
      </c>
    </row>
    <row r="5" spans="1:15" x14ac:dyDescent="0.3">
      <c r="A5" s="29" t="s">
        <v>50</v>
      </c>
      <c r="B5" s="29" t="s">
        <v>20</v>
      </c>
      <c r="C5" s="32" t="s">
        <v>38</v>
      </c>
      <c r="D5" s="29">
        <v>485</v>
      </c>
      <c r="E5" s="22">
        <v>0</v>
      </c>
      <c r="F5" s="23">
        <v>10000</v>
      </c>
      <c r="G5" s="25">
        <v>0</v>
      </c>
      <c r="H5" s="21">
        <v>5</v>
      </c>
      <c r="I5" s="22">
        <v>0</v>
      </c>
      <c r="J5" s="23">
        <v>5000</v>
      </c>
      <c r="K5" s="25">
        <v>0</v>
      </c>
      <c r="L5" s="23">
        <v>0</v>
      </c>
      <c r="M5" s="22">
        <v>0</v>
      </c>
      <c r="N5" s="23">
        <v>0</v>
      </c>
      <c r="O5" s="24">
        <v>46174</v>
      </c>
    </row>
    <row r="6" spans="1:15" x14ac:dyDescent="0.3">
      <c r="A6" s="29" t="s">
        <v>11</v>
      </c>
      <c r="B6" s="29" t="s">
        <v>18</v>
      </c>
      <c r="C6" s="32" t="s">
        <v>14</v>
      </c>
      <c r="D6" s="29">
        <v>391</v>
      </c>
      <c r="E6" s="25">
        <v>0.6</v>
      </c>
      <c r="F6" s="23">
        <v>350000</v>
      </c>
      <c r="G6" s="25">
        <v>0.1</v>
      </c>
      <c r="H6" s="21">
        <v>20</v>
      </c>
      <c r="I6" s="22">
        <v>0.1</v>
      </c>
      <c r="J6" s="23">
        <v>150000</v>
      </c>
      <c r="K6" s="25">
        <v>0.05</v>
      </c>
      <c r="L6" s="23">
        <v>12000</v>
      </c>
      <c r="M6" s="22">
        <v>0.15</v>
      </c>
      <c r="N6" s="23">
        <v>3000</v>
      </c>
      <c r="O6" s="24">
        <v>46174</v>
      </c>
    </row>
    <row r="7" spans="1:15" x14ac:dyDescent="0.3">
      <c r="A7" s="29" t="s">
        <v>12</v>
      </c>
      <c r="B7" s="29" t="s">
        <v>19</v>
      </c>
      <c r="C7" s="32" t="s">
        <v>26</v>
      </c>
      <c r="D7" s="29">
        <v>425</v>
      </c>
      <c r="E7" s="25">
        <v>0</v>
      </c>
      <c r="F7" s="23">
        <v>50000</v>
      </c>
      <c r="G7" s="25">
        <v>0</v>
      </c>
      <c r="H7" s="21">
        <v>15</v>
      </c>
      <c r="I7" s="22">
        <v>0</v>
      </c>
      <c r="J7" s="23">
        <v>20000</v>
      </c>
      <c r="K7" s="25">
        <v>0</v>
      </c>
      <c r="L7" s="23">
        <v>0</v>
      </c>
      <c r="M7" s="22">
        <v>0.05</v>
      </c>
      <c r="N7" s="23">
        <v>0</v>
      </c>
      <c r="O7" s="24">
        <v>46174</v>
      </c>
    </row>
    <row r="8" spans="1:15" x14ac:dyDescent="0.3">
      <c r="A8" s="29" t="s">
        <v>11</v>
      </c>
      <c r="B8" s="29" t="s">
        <v>18</v>
      </c>
      <c r="C8" s="32" t="s">
        <v>15</v>
      </c>
      <c r="D8" s="29">
        <v>371</v>
      </c>
      <c r="E8" s="25">
        <v>0.6</v>
      </c>
      <c r="F8" s="23">
        <v>400000</v>
      </c>
      <c r="G8" s="25">
        <v>0.1</v>
      </c>
      <c r="H8" s="21">
        <v>35</v>
      </c>
      <c r="I8" s="22">
        <v>0.1</v>
      </c>
      <c r="J8" s="23">
        <v>320000</v>
      </c>
      <c r="K8" s="25">
        <v>0.05</v>
      </c>
      <c r="L8" s="23">
        <v>12000</v>
      </c>
      <c r="M8" s="22">
        <v>0.15</v>
      </c>
      <c r="N8" s="23">
        <v>3000</v>
      </c>
      <c r="O8" s="24">
        <v>46174</v>
      </c>
    </row>
    <row r="9" spans="1:15" x14ac:dyDescent="0.3">
      <c r="A9" s="29" t="s">
        <v>10</v>
      </c>
      <c r="B9" s="29" t="s">
        <v>19</v>
      </c>
      <c r="C9" s="32" t="s">
        <v>22</v>
      </c>
      <c r="D9" s="29">
        <v>310</v>
      </c>
      <c r="E9" s="25">
        <v>0</v>
      </c>
      <c r="F9" s="23">
        <v>50000</v>
      </c>
      <c r="G9" s="25">
        <v>0</v>
      </c>
      <c r="H9" s="21">
        <v>1</v>
      </c>
      <c r="I9" s="22">
        <v>0</v>
      </c>
      <c r="J9" s="23">
        <v>50000</v>
      </c>
      <c r="K9" s="25">
        <v>0</v>
      </c>
      <c r="L9" s="23">
        <v>0</v>
      </c>
      <c r="M9" s="22">
        <v>0.05</v>
      </c>
      <c r="N9" s="23">
        <v>0</v>
      </c>
      <c r="O9" s="24">
        <v>46174</v>
      </c>
    </row>
    <row r="10" spans="1:15" x14ac:dyDescent="0.3">
      <c r="A10" s="29" t="s">
        <v>50</v>
      </c>
      <c r="B10" s="29" t="s">
        <v>20</v>
      </c>
      <c r="C10" s="32" t="s">
        <v>35</v>
      </c>
      <c r="D10" s="29">
        <v>465</v>
      </c>
      <c r="E10" s="25">
        <v>0</v>
      </c>
      <c r="F10" s="23">
        <v>50000</v>
      </c>
      <c r="G10" s="25">
        <v>0</v>
      </c>
      <c r="H10" s="21">
        <v>20</v>
      </c>
      <c r="I10" s="22">
        <v>0</v>
      </c>
      <c r="J10" s="23">
        <v>50000</v>
      </c>
      <c r="K10" s="25">
        <v>0</v>
      </c>
      <c r="L10" s="23">
        <v>3000</v>
      </c>
      <c r="M10" s="22">
        <v>0</v>
      </c>
      <c r="N10" s="23">
        <v>2000</v>
      </c>
      <c r="O10" s="24">
        <v>46174</v>
      </c>
    </row>
    <row r="11" spans="1:15" x14ac:dyDescent="0.3">
      <c r="A11" s="29" t="s">
        <v>50</v>
      </c>
      <c r="B11" s="29" t="s">
        <v>20</v>
      </c>
      <c r="C11" s="32" t="s">
        <v>32</v>
      </c>
      <c r="D11" s="29">
        <v>460</v>
      </c>
      <c r="E11" s="25">
        <v>0</v>
      </c>
      <c r="F11" s="23">
        <v>80000</v>
      </c>
      <c r="G11" s="25">
        <v>0</v>
      </c>
      <c r="H11" s="21">
        <v>30</v>
      </c>
      <c r="I11" s="22">
        <v>0</v>
      </c>
      <c r="J11" s="23">
        <v>50000</v>
      </c>
      <c r="K11" s="25">
        <v>0</v>
      </c>
      <c r="L11" s="23">
        <v>5000</v>
      </c>
      <c r="M11" s="22">
        <v>0</v>
      </c>
      <c r="N11" s="23">
        <v>2000</v>
      </c>
      <c r="O11" s="24">
        <v>46174</v>
      </c>
    </row>
    <row r="12" spans="1:15" x14ac:dyDescent="0.3">
      <c r="A12" s="29" t="s">
        <v>50</v>
      </c>
      <c r="B12" s="29" t="s">
        <v>20</v>
      </c>
      <c r="C12" s="32" t="s">
        <v>31</v>
      </c>
      <c r="D12" s="29">
        <v>466</v>
      </c>
      <c r="E12" s="25">
        <v>0</v>
      </c>
      <c r="F12" s="23">
        <v>50000</v>
      </c>
      <c r="G12" s="25">
        <v>0</v>
      </c>
      <c r="H12" s="21">
        <v>15</v>
      </c>
      <c r="I12" s="22">
        <v>0</v>
      </c>
      <c r="J12" s="23">
        <v>15000</v>
      </c>
      <c r="K12" s="25">
        <v>0</v>
      </c>
      <c r="L12" s="23">
        <v>2000</v>
      </c>
      <c r="M12" s="22">
        <v>0</v>
      </c>
      <c r="N12" s="23">
        <v>2000</v>
      </c>
      <c r="O12" s="24">
        <v>46174</v>
      </c>
    </row>
    <row r="13" spans="1:15" x14ac:dyDescent="0.3">
      <c r="A13" s="29" t="s">
        <v>52</v>
      </c>
      <c r="B13" s="29" t="s">
        <v>20</v>
      </c>
      <c r="C13" s="32" t="s">
        <v>42</v>
      </c>
      <c r="D13" s="29">
        <v>462</v>
      </c>
      <c r="E13" s="22">
        <v>0</v>
      </c>
      <c r="F13" s="23">
        <v>150000</v>
      </c>
      <c r="G13" s="21">
        <v>0</v>
      </c>
      <c r="H13" s="21">
        <v>2</v>
      </c>
      <c r="I13" s="22">
        <v>0</v>
      </c>
      <c r="J13" s="23">
        <v>120000</v>
      </c>
      <c r="K13" s="21">
        <v>0</v>
      </c>
      <c r="L13" s="23">
        <v>0</v>
      </c>
      <c r="M13" s="22">
        <v>0</v>
      </c>
      <c r="N13" s="23">
        <v>0</v>
      </c>
      <c r="O13" s="24">
        <v>46174</v>
      </c>
    </row>
    <row r="14" spans="1:15" x14ac:dyDescent="0.3">
      <c r="A14" s="29" t="s">
        <v>50</v>
      </c>
      <c r="B14" s="29" t="s">
        <v>20</v>
      </c>
      <c r="C14" s="32" t="s">
        <v>37</v>
      </c>
      <c r="D14" s="29">
        <v>472</v>
      </c>
      <c r="E14" s="25">
        <v>0</v>
      </c>
      <c r="F14" s="23">
        <v>30000</v>
      </c>
      <c r="G14" s="25">
        <v>0</v>
      </c>
      <c r="H14" s="21">
        <v>10</v>
      </c>
      <c r="I14" s="22">
        <v>0</v>
      </c>
      <c r="J14" s="23">
        <v>20000</v>
      </c>
      <c r="K14" s="25">
        <v>0</v>
      </c>
      <c r="L14" s="23">
        <v>2000</v>
      </c>
      <c r="M14" s="22">
        <v>0</v>
      </c>
      <c r="N14" s="23">
        <v>0</v>
      </c>
      <c r="O14" s="24">
        <v>46174</v>
      </c>
    </row>
    <row r="15" spans="1:15" x14ac:dyDescent="0.3">
      <c r="A15" s="29" t="s">
        <v>52</v>
      </c>
      <c r="B15" s="29" t="s">
        <v>20</v>
      </c>
      <c r="C15" s="32" t="s">
        <v>44</v>
      </c>
      <c r="D15" s="29">
        <v>474</v>
      </c>
      <c r="E15" s="22">
        <v>0</v>
      </c>
      <c r="F15" s="23">
        <v>30000</v>
      </c>
      <c r="G15" s="21">
        <v>0</v>
      </c>
      <c r="H15" s="21">
        <v>15</v>
      </c>
      <c r="I15" s="22">
        <v>0</v>
      </c>
      <c r="J15" s="23">
        <v>10000</v>
      </c>
      <c r="K15" s="21">
        <v>0</v>
      </c>
      <c r="L15" s="23">
        <v>0</v>
      </c>
      <c r="M15" s="22">
        <v>0</v>
      </c>
      <c r="N15" s="23">
        <v>0</v>
      </c>
      <c r="O15" s="24">
        <v>46174</v>
      </c>
    </row>
    <row r="16" spans="1:15" x14ac:dyDescent="0.3">
      <c r="A16" s="29" t="s">
        <v>11</v>
      </c>
      <c r="B16" s="29" t="s">
        <v>19</v>
      </c>
      <c r="C16" s="32" t="s">
        <v>25</v>
      </c>
      <c r="D16" s="29">
        <v>312</v>
      </c>
      <c r="E16" s="25">
        <v>0</v>
      </c>
      <c r="F16" s="23">
        <v>5000</v>
      </c>
      <c r="G16" s="25">
        <v>0</v>
      </c>
      <c r="H16" s="21">
        <v>1</v>
      </c>
      <c r="I16" s="22">
        <v>0</v>
      </c>
      <c r="J16" s="23">
        <v>2000</v>
      </c>
      <c r="K16" s="25">
        <v>0</v>
      </c>
      <c r="L16" s="23">
        <v>0</v>
      </c>
      <c r="M16" s="22">
        <v>0</v>
      </c>
      <c r="N16" s="23">
        <v>0</v>
      </c>
      <c r="O16" s="24">
        <v>46174</v>
      </c>
    </row>
    <row r="17" spans="1:15" x14ac:dyDescent="0.3">
      <c r="A17" s="29" t="s">
        <v>12</v>
      </c>
      <c r="B17" s="29" t="s">
        <v>18</v>
      </c>
      <c r="C17" s="32" t="s">
        <v>21</v>
      </c>
      <c r="D17" s="29">
        <v>486</v>
      </c>
      <c r="E17" s="25">
        <v>0.6</v>
      </c>
      <c r="F17" s="23">
        <v>100000</v>
      </c>
      <c r="G17" s="25">
        <v>0.1</v>
      </c>
      <c r="H17" s="21">
        <v>20</v>
      </c>
      <c r="I17" s="22">
        <v>0.1</v>
      </c>
      <c r="J17" s="23">
        <v>40000</v>
      </c>
      <c r="K17" s="25">
        <v>0.05</v>
      </c>
      <c r="L17" s="23">
        <v>12000</v>
      </c>
      <c r="M17" s="22">
        <v>0.15</v>
      </c>
      <c r="N17" s="23">
        <v>3000</v>
      </c>
      <c r="O17" s="24">
        <v>46174</v>
      </c>
    </row>
    <row r="18" spans="1:15" x14ac:dyDescent="0.3">
      <c r="A18" s="29" t="s">
        <v>52</v>
      </c>
      <c r="B18" s="29" t="s">
        <v>20</v>
      </c>
      <c r="C18" s="32" t="s">
        <v>45</v>
      </c>
      <c r="D18" s="29">
        <v>475</v>
      </c>
      <c r="E18" s="22">
        <v>0</v>
      </c>
      <c r="F18" s="23">
        <v>20000</v>
      </c>
      <c r="G18" s="21">
        <v>0</v>
      </c>
      <c r="H18" s="21">
        <v>10</v>
      </c>
      <c r="I18" s="22">
        <v>0</v>
      </c>
      <c r="J18" s="23">
        <v>10000</v>
      </c>
      <c r="K18" s="21">
        <v>0</v>
      </c>
      <c r="L18" s="23">
        <v>2000</v>
      </c>
      <c r="M18" s="22">
        <v>0</v>
      </c>
      <c r="N18" s="23">
        <v>1000</v>
      </c>
      <c r="O18" s="24">
        <v>46174</v>
      </c>
    </row>
    <row r="19" spans="1:15" x14ac:dyDescent="0.3">
      <c r="A19" s="29" t="s">
        <v>52</v>
      </c>
      <c r="B19" s="29" t="s">
        <v>20</v>
      </c>
      <c r="C19" s="32" t="s">
        <v>47</v>
      </c>
      <c r="D19" s="29">
        <v>477</v>
      </c>
      <c r="E19" s="22">
        <v>0</v>
      </c>
      <c r="F19" s="23">
        <v>30000</v>
      </c>
      <c r="G19" s="21">
        <v>0</v>
      </c>
      <c r="H19" s="21">
        <v>15</v>
      </c>
      <c r="I19" s="22">
        <v>0</v>
      </c>
      <c r="J19" s="23">
        <v>15000</v>
      </c>
      <c r="K19" s="21">
        <v>0</v>
      </c>
      <c r="L19" s="23">
        <v>2000</v>
      </c>
      <c r="M19" s="22">
        <v>0</v>
      </c>
      <c r="N19" s="23">
        <v>1000</v>
      </c>
      <c r="O19" s="24">
        <v>46174</v>
      </c>
    </row>
    <row r="20" spans="1:15" x14ac:dyDescent="0.3">
      <c r="A20" s="29" t="s">
        <v>12</v>
      </c>
      <c r="B20" s="29" t="s">
        <v>19</v>
      </c>
      <c r="C20" s="32" t="s">
        <v>28</v>
      </c>
      <c r="D20" s="29">
        <v>433</v>
      </c>
      <c r="E20" s="25">
        <v>0</v>
      </c>
      <c r="F20" s="23">
        <v>300000</v>
      </c>
      <c r="G20" s="25">
        <v>0</v>
      </c>
      <c r="H20" s="21">
        <v>15</v>
      </c>
      <c r="I20" s="22">
        <v>0</v>
      </c>
      <c r="J20" s="23">
        <v>300000</v>
      </c>
      <c r="K20" s="25">
        <v>0</v>
      </c>
      <c r="L20" s="23">
        <v>0</v>
      </c>
      <c r="M20" s="22">
        <v>0.05</v>
      </c>
      <c r="N20" s="23">
        <v>0</v>
      </c>
      <c r="O20" s="24">
        <v>46174</v>
      </c>
    </row>
    <row r="21" spans="1:15" x14ac:dyDescent="0.3">
      <c r="A21" s="29" t="s">
        <v>52</v>
      </c>
      <c r="B21" s="29" t="s">
        <v>20</v>
      </c>
      <c r="C21" s="32" t="s">
        <v>43</v>
      </c>
      <c r="D21" s="29">
        <v>473</v>
      </c>
      <c r="E21" s="22">
        <v>0</v>
      </c>
      <c r="F21" s="23">
        <v>30000</v>
      </c>
      <c r="G21" s="21">
        <v>0</v>
      </c>
      <c r="H21" s="21">
        <v>15</v>
      </c>
      <c r="I21" s="22">
        <v>0</v>
      </c>
      <c r="J21" s="23">
        <v>20000</v>
      </c>
      <c r="K21" s="21">
        <v>0</v>
      </c>
      <c r="L21" s="23">
        <v>2000</v>
      </c>
      <c r="M21" s="22">
        <v>0</v>
      </c>
      <c r="N21" s="23">
        <v>1000</v>
      </c>
      <c r="O21" s="24">
        <v>46174</v>
      </c>
    </row>
    <row r="22" spans="1:15" x14ac:dyDescent="0.3">
      <c r="A22" s="29" t="s">
        <v>11</v>
      </c>
      <c r="B22" s="29" t="s">
        <v>18</v>
      </c>
      <c r="C22" s="32" t="s">
        <v>16</v>
      </c>
      <c r="D22" s="29">
        <v>438</v>
      </c>
      <c r="E22" s="25">
        <v>0.6</v>
      </c>
      <c r="F22" s="23">
        <v>80000</v>
      </c>
      <c r="G22" s="25">
        <v>0.1</v>
      </c>
      <c r="H22" s="21">
        <v>7</v>
      </c>
      <c r="I22" s="22">
        <v>0.1</v>
      </c>
      <c r="J22" s="23">
        <v>40000</v>
      </c>
      <c r="K22" s="25">
        <v>0.05</v>
      </c>
      <c r="L22" s="23">
        <v>0</v>
      </c>
      <c r="M22" s="22">
        <v>0</v>
      </c>
      <c r="N22" s="23">
        <v>0</v>
      </c>
      <c r="O22" s="24">
        <v>46174</v>
      </c>
    </row>
    <row r="23" spans="1:15" x14ac:dyDescent="0.3">
      <c r="A23" s="29" t="s">
        <v>10</v>
      </c>
      <c r="B23" s="29" t="s">
        <v>18</v>
      </c>
      <c r="C23" s="32" t="s">
        <v>60</v>
      </c>
      <c r="D23" s="29">
        <v>318</v>
      </c>
      <c r="E23" s="25">
        <v>0</v>
      </c>
      <c r="F23" s="23">
        <v>0</v>
      </c>
      <c r="G23" s="25">
        <v>0</v>
      </c>
      <c r="H23" s="21">
        <v>0</v>
      </c>
      <c r="I23" s="22">
        <v>0</v>
      </c>
      <c r="J23" s="23">
        <v>0</v>
      </c>
      <c r="K23" s="25">
        <v>0</v>
      </c>
      <c r="L23" s="23">
        <v>0</v>
      </c>
      <c r="M23" s="22">
        <v>0</v>
      </c>
      <c r="N23" s="23">
        <v>0</v>
      </c>
      <c r="O23" s="24">
        <v>46174</v>
      </c>
    </row>
    <row r="24" spans="1:15" x14ac:dyDescent="0.3">
      <c r="A24" s="29" t="s">
        <v>51</v>
      </c>
      <c r="B24" s="29" t="s">
        <v>20</v>
      </c>
      <c r="C24" s="32" t="s">
        <v>41</v>
      </c>
      <c r="D24" s="29">
        <v>478</v>
      </c>
      <c r="E24" s="22">
        <v>0</v>
      </c>
      <c r="F24" s="23">
        <v>20000</v>
      </c>
      <c r="G24" s="21">
        <v>0</v>
      </c>
      <c r="H24" s="21">
        <v>5</v>
      </c>
      <c r="I24" s="22">
        <v>0</v>
      </c>
      <c r="J24" s="23">
        <v>15000</v>
      </c>
      <c r="K24" s="21">
        <v>0</v>
      </c>
      <c r="L24" s="23">
        <v>0</v>
      </c>
      <c r="M24" s="22">
        <v>0</v>
      </c>
      <c r="N24" s="23">
        <v>0</v>
      </c>
      <c r="O24" s="24">
        <v>46174</v>
      </c>
    </row>
    <row r="25" spans="1:15" x14ac:dyDescent="0.3">
      <c r="A25" s="29" t="s">
        <v>12</v>
      </c>
      <c r="B25" s="29" t="s">
        <v>19</v>
      </c>
      <c r="C25" s="32" t="s">
        <v>27</v>
      </c>
      <c r="D25" s="29">
        <v>428</v>
      </c>
      <c r="E25" s="25">
        <v>0</v>
      </c>
      <c r="F25" s="23">
        <v>50000</v>
      </c>
      <c r="G25" s="25">
        <v>0</v>
      </c>
      <c r="H25" s="21">
        <v>5</v>
      </c>
      <c r="I25" s="22">
        <v>0</v>
      </c>
      <c r="J25" s="23">
        <v>30000</v>
      </c>
      <c r="K25" s="25">
        <v>0</v>
      </c>
      <c r="L25" s="23">
        <v>0</v>
      </c>
      <c r="M25" s="22">
        <v>0.05</v>
      </c>
      <c r="N25" s="23">
        <v>0</v>
      </c>
      <c r="O25" s="24">
        <v>46174</v>
      </c>
    </row>
    <row r="26" spans="1:15" x14ac:dyDescent="0.3">
      <c r="A26" s="29" t="s">
        <v>50</v>
      </c>
      <c r="B26" s="29" t="s">
        <v>20</v>
      </c>
      <c r="C26" s="32" t="s">
        <v>30</v>
      </c>
      <c r="D26" s="29">
        <v>467</v>
      </c>
      <c r="E26" s="25">
        <v>0</v>
      </c>
      <c r="F26" s="23">
        <v>100000</v>
      </c>
      <c r="G26" s="25">
        <v>0</v>
      </c>
      <c r="H26" s="21">
        <v>15</v>
      </c>
      <c r="I26" s="22">
        <v>0</v>
      </c>
      <c r="J26" s="23">
        <v>30000</v>
      </c>
      <c r="K26" s="25">
        <v>0</v>
      </c>
      <c r="L26" s="23">
        <v>2000</v>
      </c>
      <c r="M26" s="22">
        <v>0</v>
      </c>
      <c r="N26" s="23">
        <v>2000</v>
      </c>
      <c r="O26" s="24">
        <v>46174</v>
      </c>
    </row>
    <row r="27" spans="1:15" x14ac:dyDescent="0.3">
      <c r="A27" s="29" t="s">
        <v>12</v>
      </c>
      <c r="B27" s="29" t="s">
        <v>18</v>
      </c>
      <c r="C27" s="32" t="s">
        <v>17</v>
      </c>
      <c r="D27" s="29">
        <v>469</v>
      </c>
      <c r="E27" s="25">
        <v>0.6</v>
      </c>
      <c r="F27" s="23">
        <v>100000</v>
      </c>
      <c r="G27" s="25">
        <v>0.1</v>
      </c>
      <c r="H27" s="21">
        <v>20</v>
      </c>
      <c r="I27" s="22">
        <v>0.1</v>
      </c>
      <c r="J27" s="23">
        <v>40000</v>
      </c>
      <c r="K27" s="25">
        <v>0.05</v>
      </c>
      <c r="L27" s="23">
        <v>12000</v>
      </c>
      <c r="M27" s="22">
        <v>0.15</v>
      </c>
      <c r="N27" s="23">
        <v>3000</v>
      </c>
      <c r="O27" s="24">
        <v>46174</v>
      </c>
    </row>
    <row r="28" spans="1:15" x14ac:dyDescent="0.3">
      <c r="A28" s="29" t="s">
        <v>51</v>
      </c>
      <c r="B28" s="29" t="s">
        <v>20</v>
      </c>
      <c r="C28" s="32" t="s">
        <v>39</v>
      </c>
      <c r="D28" s="29">
        <v>464</v>
      </c>
      <c r="E28" s="25">
        <v>0</v>
      </c>
      <c r="F28" s="23">
        <v>30000</v>
      </c>
      <c r="G28" s="25">
        <v>0</v>
      </c>
      <c r="H28" s="21">
        <v>15</v>
      </c>
      <c r="I28" s="22">
        <v>0</v>
      </c>
      <c r="J28" s="23">
        <v>20000</v>
      </c>
      <c r="K28" s="25">
        <v>0</v>
      </c>
      <c r="L28" s="23">
        <v>2000</v>
      </c>
      <c r="M28" s="22">
        <v>0</v>
      </c>
      <c r="N28" s="23">
        <v>0</v>
      </c>
      <c r="O28" s="24">
        <v>46174</v>
      </c>
    </row>
    <row r="29" spans="1:15" x14ac:dyDescent="0.3">
      <c r="A29" s="29" t="s">
        <v>50</v>
      </c>
      <c r="B29" s="29" t="s">
        <v>20</v>
      </c>
      <c r="C29" s="32" t="s">
        <v>36</v>
      </c>
      <c r="D29" s="29">
        <v>471</v>
      </c>
      <c r="E29" s="25">
        <v>0</v>
      </c>
      <c r="F29" s="23">
        <v>50000</v>
      </c>
      <c r="G29" s="25">
        <v>0</v>
      </c>
      <c r="H29" s="21">
        <v>15</v>
      </c>
      <c r="I29" s="22">
        <v>0</v>
      </c>
      <c r="J29" s="23">
        <v>30000</v>
      </c>
      <c r="K29" s="25">
        <v>0</v>
      </c>
      <c r="L29" s="23">
        <v>2000</v>
      </c>
      <c r="M29" s="22">
        <v>0</v>
      </c>
      <c r="N29" s="23">
        <v>0</v>
      </c>
      <c r="O29" s="24">
        <v>46174</v>
      </c>
    </row>
    <row r="30" spans="1:15" x14ac:dyDescent="0.3">
      <c r="A30" s="29" t="s">
        <v>12</v>
      </c>
      <c r="B30" s="29" t="s">
        <v>18</v>
      </c>
      <c r="C30" s="32" t="s">
        <v>13</v>
      </c>
      <c r="D30" s="29">
        <v>470</v>
      </c>
      <c r="E30" s="25">
        <v>0</v>
      </c>
      <c r="F30" s="23">
        <v>550000</v>
      </c>
      <c r="G30" s="25">
        <v>0</v>
      </c>
      <c r="H30" s="21">
        <v>5</v>
      </c>
      <c r="I30" s="22">
        <v>0</v>
      </c>
      <c r="J30" s="23">
        <v>500000</v>
      </c>
      <c r="K30" s="25">
        <v>0</v>
      </c>
      <c r="L30" s="23">
        <v>0</v>
      </c>
      <c r="M30" s="22">
        <v>0</v>
      </c>
      <c r="N30" s="23">
        <v>0</v>
      </c>
      <c r="O30" s="24">
        <v>46174</v>
      </c>
    </row>
    <row r="31" spans="1:15" x14ac:dyDescent="0.3">
      <c r="A31" s="29" t="s">
        <v>52</v>
      </c>
      <c r="B31" s="29" t="s">
        <v>20</v>
      </c>
      <c r="C31" s="32" t="s">
        <v>49</v>
      </c>
      <c r="D31" s="29">
        <v>481</v>
      </c>
      <c r="E31" s="22">
        <v>0</v>
      </c>
      <c r="F31" s="23">
        <v>20000</v>
      </c>
      <c r="G31" s="21">
        <v>0</v>
      </c>
      <c r="H31" s="21">
        <v>10</v>
      </c>
      <c r="I31" s="22">
        <v>0</v>
      </c>
      <c r="J31" s="23">
        <v>10000</v>
      </c>
      <c r="K31" s="21">
        <v>0</v>
      </c>
      <c r="L31" s="23">
        <v>0</v>
      </c>
      <c r="M31" s="22">
        <v>0</v>
      </c>
      <c r="N31" s="23">
        <v>0</v>
      </c>
      <c r="O31" s="24">
        <v>46174</v>
      </c>
    </row>
    <row r="32" spans="1:15" x14ac:dyDescent="0.3">
      <c r="A32" s="29" t="s">
        <v>10</v>
      </c>
      <c r="B32" s="29" t="s">
        <v>18</v>
      </c>
      <c r="C32" s="32" t="s">
        <v>9</v>
      </c>
      <c r="D32" s="29">
        <v>468</v>
      </c>
      <c r="E32" s="25">
        <v>0.6</v>
      </c>
      <c r="F32" s="23">
        <v>250000</v>
      </c>
      <c r="G32" s="25">
        <v>0.1</v>
      </c>
      <c r="H32" s="21">
        <v>20</v>
      </c>
      <c r="I32" s="22">
        <v>0.1</v>
      </c>
      <c r="J32" s="23">
        <v>200000</v>
      </c>
      <c r="K32" s="25">
        <v>0.05</v>
      </c>
      <c r="L32" s="23">
        <v>12000</v>
      </c>
      <c r="M32" s="22">
        <v>0.15</v>
      </c>
      <c r="N32" s="23">
        <v>3000</v>
      </c>
      <c r="O32" s="24">
        <v>46174</v>
      </c>
    </row>
    <row r="33" spans="1:15" x14ac:dyDescent="0.3">
      <c r="A33" s="29" t="s">
        <v>50</v>
      </c>
      <c r="B33" s="29" t="s">
        <v>20</v>
      </c>
      <c r="C33" s="32" t="s">
        <v>33</v>
      </c>
      <c r="D33" s="29">
        <v>463</v>
      </c>
      <c r="E33" s="25">
        <v>0</v>
      </c>
      <c r="F33" s="23">
        <v>20000</v>
      </c>
      <c r="G33" s="25">
        <v>0</v>
      </c>
      <c r="H33" s="21">
        <v>10</v>
      </c>
      <c r="I33" s="22">
        <v>0</v>
      </c>
      <c r="J33" s="23">
        <v>10000</v>
      </c>
      <c r="K33" s="25">
        <v>0</v>
      </c>
      <c r="L33" s="23">
        <v>2000</v>
      </c>
      <c r="M33" s="22">
        <v>0</v>
      </c>
      <c r="N33" s="23">
        <v>0</v>
      </c>
      <c r="O33" s="24">
        <v>46174</v>
      </c>
    </row>
    <row r="34" spans="1:15" x14ac:dyDescent="0.3">
      <c r="A34" s="29" t="s">
        <v>11</v>
      </c>
      <c r="B34" s="29" t="s">
        <v>19</v>
      </c>
      <c r="C34" s="32" t="s">
        <v>23</v>
      </c>
      <c r="D34" s="29">
        <v>317</v>
      </c>
      <c r="E34" s="25">
        <v>0</v>
      </c>
      <c r="F34" s="23">
        <v>70000</v>
      </c>
      <c r="G34" s="25">
        <v>0</v>
      </c>
      <c r="H34" s="21">
        <v>14</v>
      </c>
      <c r="I34" s="22">
        <v>0</v>
      </c>
      <c r="J34" s="23">
        <v>50000</v>
      </c>
      <c r="K34" s="25">
        <v>0</v>
      </c>
      <c r="L34" s="23">
        <v>0</v>
      </c>
      <c r="M34" s="22">
        <v>0.05</v>
      </c>
      <c r="N34" s="23">
        <v>0</v>
      </c>
      <c r="O34" s="24">
        <v>46174</v>
      </c>
    </row>
    <row r="35" spans="1:15" x14ac:dyDescent="0.3">
      <c r="A35" s="29" t="s">
        <v>52</v>
      </c>
      <c r="B35" s="29" t="s">
        <v>20</v>
      </c>
      <c r="C35" s="32" t="s">
        <v>46</v>
      </c>
      <c r="D35" s="29">
        <v>476</v>
      </c>
      <c r="E35" s="22">
        <v>0</v>
      </c>
      <c r="F35" s="23">
        <v>60000</v>
      </c>
      <c r="G35" s="21">
        <v>0</v>
      </c>
      <c r="H35" s="21">
        <v>15</v>
      </c>
      <c r="I35" s="22">
        <v>0</v>
      </c>
      <c r="J35" s="23">
        <v>30000</v>
      </c>
      <c r="K35" s="21">
        <v>0</v>
      </c>
      <c r="L35" s="23">
        <v>2000</v>
      </c>
      <c r="M35" s="22">
        <v>0</v>
      </c>
      <c r="N35" s="23">
        <v>1000</v>
      </c>
      <c r="O35" s="24">
        <v>46174</v>
      </c>
    </row>
    <row r="36" spans="1:15" x14ac:dyDescent="0.3">
      <c r="A36" s="29" t="s">
        <v>50</v>
      </c>
      <c r="B36" s="29" t="s">
        <v>20</v>
      </c>
      <c r="C36" s="32" t="s">
        <v>34</v>
      </c>
      <c r="D36" s="29">
        <v>461</v>
      </c>
      <c r="E36" s="25">
        <v>0</v>
      </c>
      <c r="F36" s="23">
        <v>80000</v>
      </c>
      <c r="G36" s="25">
        <v>0</v>
      </c>
      <c r="H36" s="21">
        <v>20</v>
      </c>
      <c r="I36" s="22">
        <v>0</v>
      </c>
      <c r="J36" s="23">
        <v>50000</v>
      </c>
      <c r="K36" s="25">
        <v>0</v>
      </c>
      <c r="L36" s="23">
        <v>2000</v>
      </c>
      <c r="M36" s="22">
        <v>0</v>
      </c>
      <c r="N36" s="23">
        <v>1000</v>
      </c>
      <c r="O36" s="24">
        <v>46174</v>
      </c>
    </row>
    <row r="37" spans="1:15" x14ac:dyDescent="0.3">
      <c r="A37" s="29" t="s">
        <v>51</v>
      </c>
      <c r="B37" s="29" t="s">
        <v>20</v>
      </c>
      <c r="C37" s="32" t="s">
        <v>40</v>
      </c>
      <c r="D37" s="29">
        <v>480</v>
      </c>
      <c r="E37" s="25">
        <v>0</v>
      </c>
      <c r="F37" s="23">
        <v>20000</v>
      </c>
      <c r="G37" s="25">
        <v>0</v>
      </c>
      <c r="H37" s="21">
        <v>5</v>
      </c>
      <c r="I37" s="22">
        <v>0</v>
      </c>
      <c r="J37" s="23">
        <v>15000</v>
      </c>
      <c r="K37" s="25">
        <v>0</v>
      </c>
      <c r="L37" s="23">
        <v>0</v>
      </c>
      <c r="M37" s="22">
        <v>0</v>
      </c>
      <c r="N37" s="23">
        <v>0</v>
      </c>
      <c r="O37" s="24">
        <v>46174</v>
      </c>
    </row>
    <row r="38" spans="1:15" x14ac:dyDescent="0.3">
      <c r="A38" s="29" t="s">
        <v>11</v>
      </c>
      <c r="B38" s="29" t="s">
        <v>19</v>
      </c>
      <c r="C38" s="32" t="s">
        <v>24</v>
      </c>
      <c r="D38" s="29">
        <v>429</v>
      </c>
      <c r="E38" s="25">
        <v>0</v>
      </c>
      <c r="F38" s="23">
        <v>100000</v>
      </c>
      <c r="G38" s="25">
        <v>0</v>
      </c>
      <c r="H38" s="21">
        <v>5</v>
      </c>
      <c r="I38" s="22">
        <v>0</v>
      </c>
      <c r="J38" s="23">
        <v>10000</v>
      </c>
      <c r="K38" s="25">
        <v>0</v>
      </c>
      <c r="L38" s="23">
        <v>0</v>
      </c>
      <c r="M38" s="22">
        <v>0.05</v>
      </c>
      <c r="N38" s="23">
        <v>0</v>
      </c>
      <c r="O38" s="24">
        <v>46174</v>
      </c>
    </row>
    <row r="39" spans="1:15" x14ac:dyDescent="0.3">
      <c r="A39" s="29" t="s">
        <v>52</v>
      </c>
      <c r="B39" s="29" t="s">
        <v>20</v>
      </c>
      <c r="C39" s="33" t="s">
        <v>70</v>
      </c>
      <c r="D39" s="30">
        <v>488</v>
      </c>
      <c r="E39" s="27">
        <v>0</v>
      </c>
      <c r="F39" s="26">
        <v>0</v>
      </c>
      <c r="G39" s="26">
        <v>0</v>
      </c>
      <c r="H39" s="26">
        <v>0</v>
      </c>
      <c r="I39" s="27">
        <v>0</v>
      </c>
      <c r="J39" s="39">
        <v>0</v>
      </c>
      <c r="K39" s="26">
        <v>0</v>
      </c>
      <c r="L39" s="39">
        <v>0</v>
      </c>
      <c r="M39" s="27">
        <v>0</v>
      </c>
      <c r="N39" s="26">
        <v>0</v>
      </c>
      <c r="O39" s="24">
        <v>46174</v>
      </c>
    </row>
    <row r="40" spans="1:15" x14ac:dyDescent="0.3">
      <c r="A40" s="29" t="s">
        <v>51</v>
      </c>
      <c r="B40" s="29" t="s">
        <v>20</v>
      </c>
      <c r="C40" s="33" t="s">
        <v>61</v>
      </c>
      <c r="D40" s="30">
        <v>483</v>
      </c>
      <c r="E40" s="27">
        <v>0</v>
      </c>
      <c r="F40" s="26">
        <v>0</v>
      </c>
      <c r="G40" s="26">
        <v>0</v>
      </c>
      <c r="H40" s="26">
        <v>0</v>
      </c>
      <c r="I40" s="27">
        <v>0</v>
      </c>
      <c r="J40" s="39">
        <v>0</v>
      </c>
      <c r="K40" s="26">
        <v>0</v>
      </c>
      <c r="L40" s="39">
        <v>0</v>
      </c>
      <c r="M40" s="27">
        <v>0</v>
      </c>
      <c r="N40" s="26">
        <v>0</v>
      </c>
      <c r="O40" s="24">
        <v>46174</v>
      </c>
    </row>
    <row r="41" spans="1:15" x14ac:dyDescent="0.3">
      <c r="A41" s="29" t="s">
        <v>50</v>
      </c>
      <c r="B41" s="29" t="s">
        <v>20</v>
      </c>
      <c r="C41" s="33" t="s">
        <v>62</v>
      </c>
      <c r="D41" s="30">
        <v>492</v>
      </c>
      <c r="E41" s="27">
        <v>0</v>
      </c>
      <c r="F41" s="26">
        <v>0</v>
      </c>
      <c r="G41" s="26">
        <v>0</v>
      </c>
      <c r="H41" s="26">
        <v>0</v>
      </c>
      <c r="I41" s="27">
        <v>0</v>
      </c>
      <c r="J41" s="39">
        <v>0</v>
      </c>
      <c r="K41" s="26">
        <v>0</v>
      </c>
      <c r="L41" s="39">
        <v>0</v>
      </c>
      <c r="M41" s="27">
        <v>0</v>
      </c>
      <c r="N41" s="26">
        <v>0</v>
      </c>
      <c r="O41" s="24">
        <v>46174</v>
      </c>
    </row>
    <row r="42" spans="1:15" x14ac:dyDescent="0.3">
      <c r="A42" s="29" t="s">
        <v>50</v>
      </c>
      <c r="B42" s="29" t="s">
        <v>20</v>
      </c>
      <c r="C42" s="33" t="s">
        <v>63</v>
      </c>
      <c r="D42" s="30">
        <v>399</v>
      </c>
      <c r="E42" s="27">
        <v>0</v>
      </c>
      <c r="F42" s="26">
        <v>0</v>
      </c>
      <c r="G42" s="26">
        <v>0</v>
      </c>
      <c r="H42" s="26">
        <v>0</v>
      </c>
      <c r="I42" s="27">
        <v>0</v>
      </c>
      <c r="J42" s="39">
        <v>0</v>
      </c>
      <c r="K42" s="26">
        <v>0</v>
      </c>
      <c r="L42" s="39">
        <v>0</v>
      </c>
      <c r="M42" s="27">
        <v>0</v>
      </c>
      <c r="N42" s="26">
        <v>0</v>
      </c>
      <c r="O42" s="24">
        <v>46174</v>
      </c>
    </row>
    <row r="43" spans="1:15" x14ac:dyDescent="0.3">
      <c r="A43" s="29" t="s">
        <v>50</v>
      </c>
      <c r="B43" s="29" t="s">
        <v>20</v>
      </c>
      <c r="C43" s="33" t="s">
        <v>64</v>
      </c>
      <c r="D43" s="30">
        <v>493</v>
      </c>
      <c r="E43" s="27">
        <v>0</v>
      </c>
      <c r="F43" s="26">
        <v>0</v>
      </c>
      <c r="G43" s="26">
        <v>0</v>
      </c>
      <c r="H43" s="26">
        <v>0</v>
      </c>
      <c r="I43" s="27">
        <v>0</v>
      </c>
      <c r="J43" s="39">
        <v>0</v>
      </c>
      <c r="K43" s="26">
        <v>0</v>
      </c>
      <c r="L43" s="39">
        <v>0</v>
      </c>
      <c r="M43" s="27">
        <v>0</v>
      </c>
      <c r="N43" s="26">
        <v>0</v>
      </c>
      <c r="O43" s="24">
        <v>46174</v>
      </c>
    </row>
    <row r="44" spans="1:15" x14ac:dyDescent="0.3">
      <c r="A44" s="29" t="s">
        <v>52</v>
      </c>
      <c r="B44" s="29" t="s">
        <v>20</v>
      </c>
      <c r="C44" s="33" t="s">
        <v>65</v>
      </c>
      <c r="D44" s="30">
        <v>490</v>
      </c>
      <c r="E44" s="27">
        <v>0</v>
      </c>
      <c r="F44" s="26">
        <v>0</v>
      </c>
      <c r="G44" s="26">
        <v>0</v>
      </c>
      <c r="H44" s="26">
        <v>0</v>
      </c>
      <c r="I44" s="27">
        <v>0</v>
      </c>
      <c r="J44" s="39">
        <v>0</v>
      </c>
      <c r="K44" s="26">
        <v>0</v>
      </c>
      <c r="L44" s="39">
        <v>0</v>
      </c>
      <c r="M44" s="27">
        <v>0</v>
      </c>
      <c r="N44" s="26">
        <v>0</v>
      </c>
      <c r="O44" s="24">
        <v>46174</v>
      </c>
    </row>
    <row r="45" spans="1:15" x14ac:dyDescent="0.3">
      <c r="A45" s="29" t="s">
        <v>51</v>
      </c>
      <c r="B45" s="29" t="s">
        <v>20</v>
      </c>
      <c r="C45" s="33" t="s">
        <v>66</v>
      </c>
      <c r="D45" s="30">
        <v>495</v>
      </c>
      <c r="E45" s="27">
        <v>0</v>
      </c>
      <c r="F45" s="26">
        <v>0</v>
      </c>
      <c r="G45" s="26">
        <v>0</v>
      </c>
      <c r="H45" s="26">
        <v>0</v>
      </c>
      <c r="I45" s="27">
        <v>0</v>
      </c>
      <c r="J45" s="39">
        <v>0</v>
      </c>
      <c r="K45" s="26">
        <v>0</v>
      </c>
      <c r="L45" s="39">
        <v>0</v>
      </c>
      <c r="M45" s="27">
        <v>0</v>
      </c>
      <c r="N45" s="26">
        <v>0</v>
      </c>
      <c r="O45" s="24">
        <v>46174</v>
      </c>
    </row>
    <row r="46" spans="1:15" x14ac:dyDescent="0.3">
      <c r="A46" s="29" t="s">
        <v>52</v>
      </c>
      <c r="B46" s="29" t="s">
        <v>20</v>
      </c>
      <c r="C46" s="33" t="s">
        <v>67</v>
      </c>
      <c r="D46" s="30">
        <v>489</v>
      </c>
      <c r="E46" s="27">
        <v>0</v>
      </c>
      <c r="F46" s="26">
        <v>0</v>
      </c>
      <c r="G46" s="26">
        <v>0</v>
      </c>
      <c r="H46" s="26">
        <v>0</v>
      </c>
      <c r="I46" s="27">
        <v>0</v>
      </c>
      <c r="J46" s="39">
        <v>0</v>
      </c>
      <c r="K46" s="26">
        <v>0</v>
      </c>
      <c r="L46" s="39">
        <v>0</v>
      </c>
      <c r="M46" s="27">
        <v>0</v>
      </c>
      <c r="N46" s="26">
        <v>0</v>
      </c>
      <c r="O46" s="24">
        <v>46174</v>
      </c>
    </row>
    <row r="47" spans="1:15" x14ac:dyDescent="0.3">
      <c r="A47" s="29" t="s">
        <v>52</v>
      </c>
      <c r="B47" s="29" t="s">
        <v>20</v>
      </c>
      <c r="C47" s="33" t="s">
        <v>68</v>
      </c>
      <c r="D47" s="30">
        <v>491</v>
      </c>
      <c r="E47" s="27">
        <v>0</v>
      </c>
      <c r="F47" s="26">
        <v>0</v>
      </c>
      <c r="G47" s="26">
        <v>0</v>
      </c>
      <c r="H47" s="26">
        <v>0</v>
      </c>
      <c r="I47" s="27">
        <v>0</v>
      </c>
      <c r="J47" s="39">
        <v>0</v>
      </c>
      <c r="K47" s="26">
        <v>0</v>
      </c>
      <c r="L47" s="39">
        <v>0</v>
      </c>
      <c r="M47" s="27">
        <v>0</v>
      </c>
      <c r="N47" s="26">
        <v>0</v>
      </c>
      <c r="O47" s="24">
        <v>46174</v>
      </c>
    </row>
    <row r="48" spans="1:15" x14ac:dyDescent="0.3">
      <c r="A48" s="29" t="s">
        <v>52</v>
      </c>
      <c r="B48" s="29" t="s">
        <v>20</v>
      </c>
      <c r="C48" s="33" t="s">
        <v>69</v>
      </c>
      <c r="D48" s="30">
        <v>487</v>
      </c>
      <c r="E48" s="27">
        <v>0</v>
      </c>
      <c r="F48" s="26">
        <v>0</v>
      </c>
      <c r="G48" s="26">
        <v>0</v>
      </c>
      <c r="H48" s="26">
        <v>0</v>
      </c>
      <c r="I48" s="27">
        <v>0</v>
      </c>
      <c r="J48" s="39">
        <v>0</v>
      </c>
      <c r="K48" s="26">
        <v>0</v>
      </c>
      <c r="L48" s="39">
        <v>0</v>
      </c>
      <c r="M48" s="27">
        <v>0</v>
      </c>
      <c r="N48" s="26">
        <v>0</v>
      </c>
      <c r="O48" s="24">
        <v>46174</v>
      </c>
    </row>
    <row r="49" spans="1:15" x14ac:dyDescent="0.3">
      <c r="A49" s="29" t="s">
        <v>52</v>
      </c>
      <c r="B49" s="29" t="s">
        <v>20</v>
      </c>
      <c r="C49" s="33" t="s">
        <v>81</v>
      </c>
      <c r="D49" s="30">
        <v>498</v>
      </c>
      <c r="E49" s="27">
        <v>0</v>
      </c>
      <c r="F49" s="26">
        <v>0</v>
      </c>
      <c r="G49" s="26">
        <v>0</v>
      </c>
      <c r="H49" s="26">
        <v>0</v>
      </c>
      <c r="I49" s="27">
        <v>0</v>
      </c>
      <c r="J49" s="39">
        <v>0</v>
      </c>
      <c r="K49" s="26">
        <v>0</v>
      </c>
      <c r="L49" s="39">
        <v>0</v>
      </c>
      <c r="M49" s="27">
        <v>0</v>
      </c>
      <c r="N49" s="26">
        <v>0</v>
      </c>
      <c r="O49" s="24">
        <v>46174</v>
      </c>
    </row>
    <row r="50" spans="1:15" x14ac:dyDescent="0.3">
      <c r="A50" s="29" t="s">
        <v>51</v>
      </c>
      <c r="B50" s="29" t="s">
        <v>20</v>
      </c>
      <c r="C50" s="33" t="s">
        <v>82</v>
      </c>
      <c r="D50" s="30">
        <v>496</v>
      </c>
      <c r="E50" s="27">
        <v>0</v>
      </c>
      <c r="F50" s="26">
        <v>0</v>
      </c>
      <c r="G50" s="26">
        <v>0</v>
      </c>
      <c r="H50" s="26">
        <v>0</v>
      </c>
      <c r="I50" s="27">
        <v>0</v>
      </c>
      <c r="J50" s="39">
        <v>0</v>
      </c>
      <c r="K50" s="26">
        <v>0</v>
      </c>
      <c r="L50" s="39">
        <v>0</v>
      </c>
      <c r="M50" s="27">
        <v>0</v>
      </c>
      <c r="N50" s="26">
        <v>0</v>
      </c>
      <c r="O50" s="24">
        <v>46174</v>
      </c>
    </row>
    <row r="51" spans="1:15" x14ac:dyDescent="0.3">
      <c r="A51" s="29" t="s">
        <v>51</v>
      </c>
      <c r="B51" s="29" t="s">
        <v>20</v>
      </c>
      <c r="C51" s="33" t="s">
        <v>83</v>
      </c>
      <c r="D51" s="30">
        <v>502</v>
      </c>
      <c r="E51" s="27">
        <v>0</v>
      </c>
      <c r="F51" s="26">
        <v>0</v>
      </c>
      <c r="G51" s="26">
        <v>0</v>
      </c>
      <c r="H51" s="26">
        <v>0</v>
      </c>
      <c r="I51" s="27">
        <v>0</v>
      </c>
      <c r="J51" s="39">
        <v>0</v>
      </c>
      <c r="K51" s="26">
        <v>0</v>
      </c>
      <c r="L51" s="39">
        <v>0</v>
      </c>
      <c r="M51" s="27">
        <v>0</v>
      </c>
      <c r="N51" s="26">
        <v>0</v>
      </c>
      <c r="O51" s="24">
        <v>46174</v>
      </c>
    </row>
    <row r="52" spans="1:15" x14ac:dyDescent="0.3">
      <c r="A52" s="29" t="s">
        <v>51</v>
      </c>
      <c r="B52" s="29" t="s">
        <v>20</v>
      </c>
      <c r="C52" s="34" t="s">
        <v>84</v>
      </c>
      <c r="D52" s="30">
        <v>501</v>
      </c>
      <c r="E52" s="27">
        <v>0</v>
      </c>
      <c r="F52" s="26">
        <v>0</v>
      </c>
      <c r="G52" s="26">
        <v>0</v>
      </c>
      <c r="H52" s="26">
        <v>0</v>
      </c>
      <c r="I52" s="27">
        <v>0</v>
      </c>
      <c r="J52" s="39">
        <v>0</v>
      </c>
      <c r="K52" s="26">
        <v>0</v>
      </c>
      <c r="L52" s="39">
        <v>0</v>
      </c>
      <c r="M52" s="27">
        <v>0</v>
      </c>
      <c r="N52" s="26">
        <v>0</v>
      </c>
      <c r="O52" s="24">
        <v>46174</v>
      </c>
    </row>
    <row r="53" spans="1:15" x14ac:dyDescent="0.3">
      <c r="A53" s="29" t="s">
        <v>51</v>
      </c>
      <c r="B53" s="29" t="s">
        <v>20</v>
      </c>
      <c r="C53" s="34" t="s">
        <v>85</v>
      </c>
      <c r="D53" s="30">
        <v>501</v>
      </c>
      <c r="E53" s="27">
        <v>0</v>
      </c>
      <c r="F53" s="26">
        <v>0</v>
      </c>
      <c r="G53" s="26">
        <v>0</v>
      </c>
      <c r="H53" s="26">
        <v>0</v>
      </c>
      <c r="I53" s="27">
        <v>0</v>
      </c>
      <c r="J53" s="39">
        <v>0</v>
      </c>
      <c r="K53" s="26">
        <v>0</v>
      </c>
      <c r="L53" s="39">
        <v>0</v>
      </c>
      <c r="M53" s="27">
        <v>0</v>
      </c>
      <c r="N53" s="26">
        <v>0</v>
      </c>
      <c r="O53" s="24">
        <v>46174</v>
      </c>
    </row>
    <row r="54" spans="1:15" x14ac:dyDescent="0.3">
      <c r="A54" s="29" t="s">
        <v>51</v>
      </c>
      <c r="B54" s="29" t="s">
        <v>20</v>
      </c>
      <c r="C54" s="34" t="s">
        <v>86</v>
      </c>
      <c r="D54" s="30">
        <v>501</v>
      </c>
      <c r="E54" s="27">
        <v>0</v>
      </c>
      <c r="F54" s="26">
        <v>0</v>
      </c>
      <c r="G54" s="26">
        <v>0</v>
      </c>
      <c r="H54" s="26">
        <v>0</v>
      </c>
      <c r="I54" s="27">
        <v>0</v>
      </c>
      <c r="J54" s="39">
        <v>0</v>
      </c>
      <c r="K54" s="26">
        <v>0</v>
      </c>
      <c r="L54" s="39">
        <v>0</v>
      </c>
      <c r="M54" s="27">
        <v>0</v>
      </c>
      <c r="N54" s="26">
        <v>0</v>
      </c>
      <c r="O54" s="24">
        <v>46174</v>
      </c>
    </row>
    <row r="55" spans="1:15" x14ac:dyDescent="0.3">
      <c r="A55" s="29" t="s">
        <v>51</v>
      </c>
      <c r="B55" s="29" t="s">
        <v>20</v>
      </c>
      <c r="C55" s="34" t="s">
        <v>87</v>
      </c>
      <c r="D55" s="30">
        <v>500</v>
      </c>
      <c r="E55" s="27">
        <v>0</v>
      </c>
      <c r="F55" s="26">
        <v>0</v>
      </c>
      <c r="G55" s="26">
        <v>0</v>
      </c>
      <c r="H55" s="26">
        <v>0</v>
      </c>
      <c r="I55" s="27">
        <v>0</v>
      </c>
      <c r="J55" s="39">
        <v>0</v>
      </c>
      <c r="K55" s="26">
        <v>0</v>
      </c>
      <c r="L55" s="39">
        <v>0</v>
      </c>
      <c r="M55" s="27">
        <v>0</v>
      </c>
      <c r="N55" s="26">
        <v>0</v>
      </c>
      <c r="O55" s="24">
        <v>46174</v>
      </c>
    </row>
    <row r="56" spans="1:15" x14ac:dyDescent="0.3">
      <c r="A56" s="17" t="s">
        <v>94</v>
      </c>
      <c r="B56" s="20" t="s">
        <v>18</v>
      </c>
      <c r="C56" s="19" t="s">
        <v>92</v>
      </c>
      <c r="D56" s="18" t="e">
        <f ca="1">_xlfn.XLOOKUP(C56,META_VENDEDOR!$C:$C,META_VENDEDOR!$D:$D)</f>
        <v>#N/A</v>
      </c>
      <c r="E56" s="27">
        <f>_xlfn.XLOOKUP(C56,'[1]METAS JULHO'!$A:$A,'[1]METAS JULHO'!$F:$F)</f>
        <v>0.55000000000000004</v>
      </c>
      <c r="F56" s="37">
        <f>_xlfn.XLOOKUP(C56,'[1]METAS JULHO'!$A:$A,'[1]METAS JULHO'!$D:$D)</f>
        <v>50000</v>
      </c>
      <c r="G56" s="27">
        <f>_xlfn.XLOOKUP(C56,'[1]METAS JULHO'!$A:$A,'[1]METAS JULHO'!$X:$X)</f>
        <v>0.05</v>
      </c>
      <c r="H56" s="26">
        <f>_xlfn.XLOOKUP(C56,'[1]METAS JULHO'!$A:$A,'[1]METAS JULHO'!$V:$V)</f>
        <v>10</v>
      </c>
      <c r="I56" s="27">
        <f>_xlfn.XLOOKUP(C56,'[1]METAS JULHO'!$A:$A,'[1]METAS JULHO'!$O:$O)</f>
        <v>0.1</v>
      </c>
      <c r="J56" s="39">
        <f>_xlfn.XLOOKUP(C56,'[1]METAS JULHO'!$A:$A,'[1]METAS JULHO'!$M:$M)</f>
        <v>10000</v>
      </c>
      <c r="K56" s="27">
        <f>_xlfn.XLOOKUP(C56,'[1]METAS JULHO'!$A:$A,'[1]METAS JULHO'!$Q:$Q)</f>
        <v>0</v>
      </c>
      <c r="L56" s="39">
        <f>_xlfn.XLOOKUP(C56,'[1]METAS JULHO'!$A:$A,'[1]METAS JULHO'!$P:$P)</f>
        <v>5000</v>
      </c>
      <c r="M56" s="27">
        <f>_xlfn.XLOOKUP(C56,'[1]METAS JULHO'!$A:$A,'[1]METAS JULHO'!$L:$L)</f>
        <v>0.05</v>
      </c>
      <c r="N56" s="37">
        <f>_xlfn.XLOOKUP(C56,'[1]METAS JULHO'!$A:$A,'[1]METAS JULHO'!$J:$J)</f>
        <v>2000</v>
      </c>
      <c r="O56" s="36">
        <v>46204</v>
      </c>
    </row>
    <row r="57" spans="1:15" x14ac:dyDescent="0.3">
      <c r="A57" s="17" t="s">
        <v>94</v>
      </c>
      <c r="B57" s="20" t="s">
        <v>18</v>
      </c>
      <c r="C57" s="19" t="s">
        <v>9</v>
      </c>
      <c r="D57" s="17">
        <f>_xlfn.XLOOKUP(C57,META_VENDEDOR!$C:$C,META_VENDEDOR!$D:$D)</f>
        <v>468</v>
      </c>
      <c r="E57" s="27">
        <f>_xlfn.XLOOKUP(C57,'[1]METAS JULHO'!$A:$A,'[1]METAS JULHO'!$F:$F)</f>
        <v>0.55000000000000004</v>
      </c>
      <c r="F57" s="37">
        <f>_xlfn.XLOOKUP(C57,'[1]METAS JULHO'!$A:$A,'[1]METAS JULHO'!$D:$D)</f>
        <v>200000</v>
      </c>
      <c r="G57" s="27">
        <f>_xlfn.XLOOKUP(C57,'[1]METAS JULHO'!$A:$A,'[1]METAS JULHO'!$X:$X)</f>
        <v>0.05</v>
      </c>
      <c r="H57" s="26">
        <f>_xlfn.XLOOKUP(C57,'[1]METAS JULHO'!$A:$A,'[1]METAS JULHO'!$V:$V)</f>
        <v>20</v>
      </c>
      <c r="I57" s="27">
        <f>_xlfn.XLOOKUP(C57,'[1]METAS JULHO'!$A:$A,'[1]METAS JULHO'!$O:$O)</f>
        <v>0.1</v>
      </c>
      <c r="J57" s="39">
        <f>_xlfn.XLOOKUP(C57,'[1]METAS JULHO'!$A:$A,'[1]METAS JULHO'!$M:$M)</f>
        <v>120000</v>
      </c>
      <c r="K57" s="27">
        <f>_xlfn.XLOOKUP(C57,'[1]METAS JULHO'!$A:$A,'[1]METAS JULHO'!$Q:$Q)</f>
        <v>0</v>
      </c>
      <c r="L57" s="39">
        <f>_xlfn.XLOOKUP(C57,'[1]METAS JULHO'!$A:$A,'[1]METAS JULHO'!$P:$P)</f>
        <v>40000</v>
      </c>
      <c r="M57" s="27">
        <f>_xlfn.XLOOKUP(C57,'[1]METAS JULHO'!$A:$A,'[1]METAS JULHO'!$L:$L)</f>
        <v>0.05</v>
      </c>
      <c r="N57" s="37">
        <f>_xlfn.XLOOKUP(C57,'[1]METAS JULHO'!$A:$A,'[1]METAS JULHO'!$J:$J)</f>
        <v>6000</v>
      </c>
      <c r="O57" s="36">
        <v>46204</v>
      </c>
    </row>
    <row r="58" spans="1:15" x14ac:dyDescent="0.3">
      <c r="A58" s="17" t="s">
        <v>11</v>
      </c>
      <c r="B58" s="20" t="s">
        <v>18</v>
      </c>
      <c r="C58" s="19" t="s">
        <v>59</v>
      </c>
      <c r="D58" s="17">
        <f>_xlfn.XLOOKUP(C58,META_VENDEDOR!$C:$C,META_VENDEDOR!$D:$D)</f>
        <v>232</v>
      </c>
      <c r="E58" s="27">
        <f>_xlfn.XLOOKUP(C58,'[1]METAS JULHO'!$A:$A,'[1]METAS JULHO'!$F:$F)</f>
        <v>0.7</v>
      </c>
      <c r="F58" s="37">
        <f>_xlfn.XLOOKUP(C58,'[1]METAS JULHO'!$A:$A,'[1]METAS JULHO'!$D:$D)</f>
        <v>1800000</v>
      </c>
      <c r="G58" s="27">
        <f>_xlfn.XLOOKUP(C58,'[1]METAS JULHO'!$A:$A,'[1]METAS JULHO'!$X:$X)</f>
        <v>0</v>
      </c>
      <c r="H58" s="26">
        <f>_xlfn.XLOOKUP(C58,'[1]METAS JULHO'!$A:$A,'[1]METAS JULHO'!$V:$V)</f>
        <v>0</v>
      </c>
      <c r="I58" s="27">
        <f>_xlfn.XLOOKUP(C58,'[1]METAS JULHO'!$A:$A,'[1]METAS JULHO'!$O:$O)</f>
        <v>0.1</v>
      </c>
      <c r="J58" s="39">
        <f>_xlfn.XLOOKUP(C58,'[1]METAS JULHO'!$A:$A,'[1]METAS JULHO'!$M:$M)</f>
        <v>1000000</v>
      </c>
      <c r="K58" s="27">
        <f>_xlfn.XLOOKUP(C58,'[1]METAS JULHO'!$A:$A,'[1]METAS JULHO'!$Q:$Q)</f>
        <v>0</v>
      </c>
      <c r="L58" s="39">
        <f>_xlfn.XLOOKUP(C58,'[1]METAS JULHO'!$A:$A,'[1]METAS JULHO'!$P:$P)</f>
        <v>100000</v>
      </c>
      <c r="M58" s="27">
        <f>_xlfn.XLOOKUP(C58,'[1]METAS JULHO'!$A:$A,'[1]METAS JULHO'!$L:$L)</f>
        <v>0.05</v>
      </c>
      <c r="N58" s="37">
        <f>_xlfn.XLOOKUP(C58,'[1]METAS JULHO'!$A:$A,'[1]METAS JULHO'!$J:$J)</f>
        <v>10000</v>
      </c>
      <c r="O58" s="36">
        <v>46204</v>
      </c>
    </row>
    <row r="59" spans="1:15" x14ac:dyDescent="0.3">
      <c r="A59" s="17" t="s">
        <v>11</v>
      </c>
      <c r="B59" s="20" t="s">
        <v>18</v>
      </c>
      <c r="C59" s="19" t="s">
        <v>14</v>
      </c>
      <c r="D59" s="17">
        <f>_xlfn.XLOOKUP(C59,META_VENDEDOR!$C:$C,META_VENDEDOR!$D:$D)</f>
        <v>391</v>
      </c>
      <c r="E59" s="27">
        <f>_xlfn.XLOOKUP(C59,'[1]METAS JULHO'!$A:$A,'[1]METAS JULHO'!$F:$F)</f>
        <v>0.55000000000000004</v>
      </c>
      <c r="F59" s="37">
        <f>_xlfn.XLOOKUP(C59,'[1]METAS JULHO'!$A:$A,'[1]METAS JULHO'!$D:$D)</f>
        <v>400000</v>
      </c>
      <c r="G59" s="27">
        <f>_xlfn.XLOOKUP(C59,'[1]METAS JULHO'!$A:$A,'[1]METAS JULHO'!$X:$X)</f>
        <v>0.05</v>
      </c>
      <c r="H59" s="26">
        <f>_xlfn.XLOOKUP(C59,'[1]METAS JULHO'!$A:$A,'[1]METAS JULHO'!$V:$V)</f>
        <v>20</v>
      </c>
      <c r="I59" s="27">
        <f>_xlfn.XLOOKUP(C59,'[1]METAS JULHO'!$A:$A,'[1]METAS JULHO'!$O:$O)</f>
        <v>0.1</v>
      </c>
      <c r="J59" s="39">
        <f>_xlfn.XLOOKUP(C59,'[1]METAS JULHO'!$A:$A,'[1]METAS JULHO'!$M:$M)</f>
        <v>200000</v>
      </c>
      <c r="K59" s="27">
        <f>_xlfn.XLOOKUP(C59,'[1]METAS JULHO'!$A:$A,'[1]METAS JULHO'!$Q:$Q)</f>
        <v>0</v>
      </c>
      <c r="L59" s="39">
        <f>_xlfn.XLOOKUP(C59,'[1]METAS JULHO'!$A:$A,'[1]METAS JULHO'!$P:$P)</f>
        <v>40000</v>
      </c>
      <c r="M59" s="27">
        <f>_xlfn.XLOOKUP(C59,'[1]METAS JULHO'!$A:$A,'[1]METAS JULHO'!$L:$L)</f>
        <v>0.05</v>
      </c>
      <c r="N59" s="37">
        <f>_xlfn.XLOOKUP(C59,'[1]METAS JULHO'!$A:$A,'[1]METAS JULHO'!$J:$J)</f>
        <v>5000</v>
      </c>
      <c r="O59" s="36">
        <v>46204</v>
      </c>
    </row>
    <row r="60" spans="1:15" x14ac:dyDescent="0.3">
      <c r="A60" s="19" t="s">
        <v>11</v>
      </c>
      <c r="B60" s="20" t="s">
        <v>18</v>
      </c>
      <c r="C60" s="19" t="s">
        <v>15</v>
      </c>
      <c r="D60" s="17">
        <f>_xlfn.XLOOKUP(C60,META_VENDEDOR!$C:$C,META_VENDEDOR!$D:$D)</f>
        <v>371</v>
      </c>
      <c r="E60" s="27">
        <f>_xlfn.XLOOKUP(C60,'[1]METAS JULHO'!$A:$A,'[1]METAS JULHO'!$F:$F)</f>
        <v>0.55000000000000004</v>
      </c>
      <c r="F60" s="37">
        <f>_xlfn.XLOOKUP(C60,'[1]METAS JULHO'!$A:$A,'[1]METAS JULHO'!$D:$D)</f>
        <v>400000</v>
      </c>
      <c r="G60" s="27">
        <f>_xlfn.XLOOKUP(C60,'[1]METAS JULHO'!$A:$A,'[1]METAS JULHO'!$X:$X)</f>
        <v>0.05</v>
      </c>
      <c r="H60" s="26">
        <f>_xlfn.XLOOKUP(C60,'[1]METAS JULHO'!$A:$A,'[1]METAS JULHO'!$V:$V)</f>
        <v>20</v>
      </c>
      <c r="I60" s="27">
        <f>_xlfn.XLOOKUP(C60,'[1]METAS JULHO'!$A:$A,'[1]METAS JULHO'!$O:$O)</f>
        <v>0.1</v>
      </c>
      <c r="J60" s="39">
        <f>_xlfn.XLOOKUP(C60,'[1]METAS JULHO'!$A:$A,'[1]METAS JULHO'!$M:$M)</f>
        <v>250000</v>
      </c>
      <c r="K60" s="27">
        <f>_xlfn.XLOOKUP(C60,'[1]METAS JULHO'!$A:$A,'[1]METAS JULHO'!$Q:$Q)</f>
        <v>0</v>
      </c>
      <c r="L60" s="39">
        <f>_xlfn.XLOOKUP(C60,'[1]METAS JULHO'!$A:$A,'[1]METAS JULHO'!$P:$P)</f>
        <v>40000</v>
      </c>
      <c r="M60" s="27">
        <f>_xlfn.XLOOKUP(C60,'[1]METAS JULHO'!$A:$A,'[1]METAS JULHO'!$L:$L)</f>
        <v>0.05</v>
      </c>
      <c r="N60" s="37">
        <f>_xlfn.XLOOKUP(C60,'[1]METAS JULHO'!$A:$A,'[1]METAS JULHO'!$J:$J)</f>
        <v>5000</v>
      </c>
      <c r="O60" s="36">
        <v>46204</v>
      </c>
    </row>
    <row r="61" spans="1:15" x14ac:dyDescent="0.3">
      <c r="A61" s="17" t="s">
        <v>11</v>
      </c>
      <c r="B61" s="20" t="s">
        <v>18</v>
      </c>
      <c r="C61" s="19" t="s">
        <v>93</v>
      </c>
      <c r="D61" s="18" t="e">
        <f ca="1">_xlfn.XLOOKUP(C61,META_VENDEDOR!$C:$C,META_VENDEDOR!$D:$D)</f>
        <v>#N/A</v>
      </c>
      <c r="E61" s="27">
        <f>_xlfn.XLOOKUP(C61,'[1]METAS JULHO'!$A:$A,'[1]METAS JULHO'!$F:$F)</f>
        <v>0.55000000000000004</v>
      </c>
      <c r="F61" s="37">
        <f>_xlfn.XLOOKUP(C61,'[1]METAS JULHO'!$A:$A,'[1]METAS JULHO'!$D:$D)</f>
        <v>80000</v>
      </c>
      <c r="G61" s="27">
        <f>_xlfn.XLOOKUP(C61,'[1]METAS JULHO'!$A:$A,'[1]METAS JULHO'!$X:$X)</f>
        <v>0.05</v>
      </c>
      <c r="H61" s="26">
        <f>_xlfn.XLOOKUP(C61,'[1]METAS JULHO'!$A:$A,'[1]METAS JULHO'!$V:$V)</f>
        <v>20</v>
      </c>
      <c r="I61" s="27">
        <f>_xlfn.XLOOKUP(C61,'[1]METAS JULHO'!$A:$A,'[1]METAS JULHO'!$O:$O)</f>
        <v>0.1</v>
      </c>
      <c r="J61" s="39">
        <f>_xlfn.XLOOKUP(C61,'[1]METAS JULHO'!$A:$A,'[1]METAS JULHO'!$M:$M)</f>
        <v>20000</v>
      </c>
      <c r="K61" s="27">
        <f>_xlfn.XLOOKUP(C61,'[1]METAS JULHO'!$A:$A,'[1]METAS JULHO'!$Q:$Q)</f>
        <v>0</v>
      </c>
      <c r="L61" s="39">
        <f>_xlfn.XLOOKUP(C61,'[1]METAS JULHO'!$A:$A,'[1]METAS JULHO'!$P:$P)</f>
        <v>10000</v>
      </c>
      <c r="M61" s="27">
        <f>_xlfn.XLOOKUP(C61,'[1]METAS JULHO'!$A:$A,'[1]METAS JULHO'!$L:$L)</f>
        <v>0.05</v>
      </c>
      <c r="N61" s="37">
        <f>_xlfn.XLOOKUP(C61,'[1]METAS JULHO'!$A:$A,'[1]METAS JULHO'!$J:$J)</f>
        <v>2000</v>
      </c>
      <c r="O61" s="36">
        <v>46204</v>
      </c>
    </row>
    <row r="62" spans="1:15" x14ac:dyDescent="0.3">
      <c r="A62" s="17" t="s">
        <v>12</v>
      </c>
      <c r="B62" s="20" t="s">
        <v>18</v>
      </c>
      <c r="C62" s="19" t="s">
        <v>13</v>
      </c>
      <c r="D62" s="17">
        <f>_xlfn.XLOOKUP(C62,META_VENDEDOR!$C:$C,META_VENDEDOR!$D:$D)</f>
        <v>470</v>
      </c>
      <c r="E62" s="27">
        <f>_xlfn.XLOOKUP(C62,'[1]METAS JULHO'!$A:$A,'[1]METAS JULHO'!$F:$F)</f>
        <v>0.7</v>
      </c>
      <c r="F62" s="37">
        <f>_xlfn.XLOOKUP(C62,'[1]METAS JULHO'!$A:$A,'[1]METAS JULHO'!$D:$D)</f>
        <v>2200000</v>
      </c>
      <c r="G62" s="27">
        <f>_xlfn.XLOOKUP(C62,'[1]METAS JULHO'!$A:$A,'[1]METAS JULHO'!$X:$X)</f>
        <v>0</v>
      </c>
      <c r="H62" s="26">
        <f>_xlfn.XLOOKUP(C62,'[1]METAS JULHO'!$A:$A,'[1]METAS JULHO'!$V:$V)</f>
        <v>0</v>
      </c>
      <c r="I62" s="27">
        <f>_xlfn.XLOOKUP(C62,'[1]METAS JULHO'!$A:$A,'[1]METAS JULHO'!$O:$O)</f>
        <v>0.1</v>
      </c>
      <c r="J62" s="39">
        <f>_xlfn.XLOOKUP(C62,'[1]METAS JULHO'!$A:$A,'[1]METAS JULHO'!$M:$M)</f>
        <v>1000000</v>
      </c>
      <c r="K62" s="27">
        <f>_xlfn.XLOOKUP(C62,'[1]METAS JULHO'!$A:$A,'[1]METAS JULHO'!$Q:$Q)</f>
        <v>0</v>
      </c>
      <c r="L62" s="39">
        <f>_xlfn.XLOOKUP(C62,'[1]METAS JULHO'!$A:$A,'[1]METAS JULHO'!$P:$P)</f>
        <v>100000</v>
      </c>
      <c r="M62" s="27">
        <f>_xlfn.XLOOKUP(C62,'[1]METAS JULHO'!$A:$A,'[1]METAS JULHO'!$L:$L)</f>
        <v>0.05</v>
      </c>
      <c r="N62" s="37">
        <f>_xlfn.XLOOKUP(C62,'[1]METAS JULHO'!$A:$A,'[1]METAS JULHO'!$J:$J)</f>
        <v>10000</v>
      </c>
      <c r="O62" s="36">
        <v>46204</v>
      </c>
    </row>
    <row r="63" spans="1:15" x14ac:dyDescent="0.3">
      <c r="A63" s="17" t="s">
        <v>12</v>
      </c>
      <c r="B63" s="20" t="s">
        <v>18</v>
      </c>
      <c r="C63" s="19" t="s">
        <v>21</v>
      </c>
      <c r="D63" s="17">
        <f>_xlfn.XLOOKUP(C63,META_VENDEDOR!$C:$C,META_VENDEDOR!$D:$D)</f>
        <v>486</v>
      </c>
      <c r="E63" s="27">
        <f>_xlfn.XLOOKUP(C63,'[1]METAS JULHO'!$A:$A,'[1]METAS JULHO'!$F:$F)</f>
        <v>0.55000000000000004</v>
      </c>
      <c r="F63" s="37">
        <f>_xlfn.XLOOKUP(C63,'[1]METAS JULHO'!$A:$A,'[1]METAS JULHO'!$D:$D)</f>
        <v>110000</v>
      </c>
      <c r="G63" s="27">
        <f>_xlfn.XLOOKUP(C63,'[1]METAS JULHO'!$A:$A,'[1]METAS JULHO'!$X:$X)</f>
        <v>0.05</v>
      </c>
      <c r="H63" s="26">
        <f>_xlfn.XLOOKUP(C63,'[1]METAS JULHO'!$A:$A,'[1]METAS JULHO'!$V:$V)</f>
        <v>20</v>
      </c>
      <c r="I63" s="27">
        <f>_xlfn.XLOOKUP(C63,'[1]METAS JULHO'!$A:$A,'[1]METAS JULHO'!$O:$O)</f>
        <v>0.1</v>
      </c>
      <c r="J63" s="39">
        <f>_xlfn.XLOOKUP(C63,'[1]METAS JULHO'!$A:$A,'[1]METAS JULHO'!$M:$M)</f>
        <v>50000</v>
      </c>
      <c r="K63" s="27">
        <f>_xlfn.XLOOKUP(C63,'[1]METAS JULHO'!$A:$A,'[1]METAS JULHO'!$Q:$Q)</f>
        <v>0</v>
      </c>
      <c r="L63" s="39">
        <f>_xlfn.XLOOKUP(C63,'[1]METAS JULHO'!$A:$A,'[1]METAS JULHO'!$P:$P)</f>
        <v>20000</v>
      </c>
      <c r="M63" s="27">
        <f>_xlfn.XLOOKUP(C63,'[1]METAS JULHO'!$A:$A,'[1]METAS JULHO'!$L:$L)</f>
        <v>0.05</v>
      </c>
      <c r="N63" s="37">
        <f>_xlfn.XLOOKUP(C63,'[1]METAS JULHO'!$A:$A,'[1]METAS JULHO'!$J:$J)</f>
        <v>5000</v>
      </c>
      <c r="O63" s="36">
        <v>46204</v>
      </c>
    </row>
    <row r="64" spans="1:15" x14ac:dyDescent="0.3">
      <c r="A64" s="17" t="s">
        <v>12</v>
      </c>
      <c r="B64" s="20" t="s">
        <v>18</v>
      </c>
      <c r="C64" s="19" t="s">
        <v>17</v>
      </c>
      <c r="D64" s="17">
        <f>_xlfn.XLOOKUP(C64,META_VENDEDOR!$C:$C,META_VENDEDOR!$D:$D)</f>
        <v>469</v>
      </c>
      <c r="E64" s="27">
        <f>_xlfn.XLOOKUP(C64,'[1]METAS JULHO'!$A:$A,'[1]METAS JULHO'!$F:$F)</f>
        <v>0.55000000000000004</v>
      </c>
      <c r="F64" s="37">
        <f>_xlfn.XLOOKUP(C64,'[1]METAS JULHO'!$A:$A,'[1]METAS JULHO'!$D:$D)</f>
        <v>110000</v>
      </c>
      <c r="G64" s="27">
        <f>_xlfn.XLOOKUP(C64,'[1]METAS JULHO'!$A:$A,'[1]METAS JULHO'!$X:$X)</f>
        <v>0.05</v>
      </c>
      <c r="H64" s="26">
        <f>_xlfn.XLOOKUP(C64,'[1]METAS JULHO'!$A:$A,'[1]METAS JULHO'!$V:$V)</f>
        <v>20</v>
      </c>
      <c r="I64" s="27">
        <f>_xlfn.XLOOKUP(C64,'[1]METAS JULHO'!$A:$A,'[1]METAS JULHO'!$O:$O)</f>
        <v>0.1</v>
      </c>
      <c r="J64" s="39">
        <f>_xlfn.XLOOKUP(C64,'[1]METAS JULHO'!$A:$A,'[1]METAS JULHO'!$M:$M)</f>
        <v>50000</v>
      </c>
      <c r="K64" s="27">
        <f>_xlfn.XLOOKUP(C64,'[1]METAS JULHO'!$A:$A,'[1]METAS JULHO'!$Q:$Q)</f>
        <v>0</v>
      </c>
      <c r="L64" s="39">
        <f>_xlfn.XLOOKUP(C64,'[1]METAS JULHO'!$A:$A,'[1]METAS JULHO'!$P:$P)</f>
        <v>20000</v>
      </c>
      <c r="M64" s="27">
        <f>_xlfn.XLOOKUP(C64,'[1]METAS JULHO'!$A:$A,'[1]METAS JULHO'!$L:$L)</f>
        <v>0.05</v>
      </c>
      <c r="N64" s="37">
        <f>_xlfn.XLOOKUP(C64,'[1]METAS JULHO'!$A:$A,'[1]METAS JULHO'!$J:$J)</f>
        <v>5000</v>
      </c>
      <c r="O64" s="36">
        <v>46204</v>
      </c>
    </row>
    <row r="65" spans="1:15" x14ac:dyDescent="0.3">
      <c r="A65" s="17" t="s">
        <v>94</v>
      </c>
      <c r="B65" s="29" t="s">
        <v>19</v>
      </c>
      <c r="C65" s="19" t="s">
        <v>22</v>
      </c>
      <c r="D65" s="17">
        <f>_xlfn.XLOOKUP(C65,META_VENDEDOR!$C:$C,META_VENDEDOR!$D:$D)</f>
        <v>310</v>
      </c>
      <c r="E65" s="27">
        <f>_xlfn.XLOOKUP(C65,'[1]METAS JULHO'!$A:$A,'[1]METAS JULHO'!$F:$F)</f>
        <v>0</v>
      </c>
      <c r="F65" s="37">
        <f>_xlfn.XLOOKUP(C65,'[1]METAS JULHO'!$A:$A,'[1]METAS JULHO'!$D:$D)</f>
        <v>120000</v>
      </c>
      <c r="G65" s="27">
        <f>_xlfn.XLOOKUP(C65,'[1]METAS JULHO'!$A:$A,'[1]METAS JULHO'!$X:$X)</f>
        <v>0</v>
      </c>
      <c r="H65" s="26">
        <f>_xlfn.XLOOKUP(C65,'[1]METAS JULHO'!$A:$A,'[1]METAS JULHO'!$V:$V)</f>
        <v>1</v>
      </c>
      <c r="I65" s="27">
        <f>_xlfn.XLOOKUP(C65,'[1]METAS JULHO'!$A:$A,'[1]METAS JULHO'!$O:$O)</f>
        <v>0</v>
      </c>
      <c r="J65" s="39">
        <f>_xlfn.XLOOKUP(C65,'[1]METAS JULHO'!$A:$A,'[1]METAS JULHO'!$M:$M)</f>
        <v>0</v>
      </c>
      <c r="K65" s="27">
        <f>_xlfn.XLOOKUP(C65,'[1]METAS JULHO'!$A:$A,'[1]METAS JULHO'!$Q:$Q)</f>
        <v>0</v>
      </c>
      <c r="L65" s="39">
        <f>_xlfn.XLOOKUP(C65,'[1]METAS JULHO'!$A:$A,'[1]METAS JULHO'!$P:$P)</f>
        <v>0</v>
      </c>
      <c r="M65" s="27">
        <f>_xlfn.XLOOKUP(C65,'[1]METAS JULHO'!$A:$A,'[1]METAS JULHO'!$L:$L)</f>
        <v>0</v>
      </c>
      <c r="N65" s="37">
        <f>_xlfn.XLOOKUP(C65,'[1]METAS JULHO'!$A:$A,'[1]METAS JULHO'!$J:$J)</f>
        <v>0</v>
      </c>
      <c r="O65" s="36">
        <v>46204</v>
      </c>
    </row>
    <row r="66" spans="1:15" x14ac:dyDescent="0.3">
      <c r="A66" s="17" t="s">
        <v>11</v>
      </c>
      <c r="B66" s="29" t="s">
        <v>19</v>
      </c>
      <c r="C66" s="19" t="s">
        <v>23</v>
      </c>
      <c r="D66" s="17">
        <f>_xlfn.XLOOKUP(C66,META_VENDEDOR!$C:$C,META_VENDEDOR!$D:$D)</f>
        <v>317</v>
      </c>
      <c r="E66" s="27">
        <f>_xlfn.XLOOKUP(C66,'[1]METAS JULHO'!$A:$A,'[1]METAS JULHO'!$F:$F)</f>
        <v>0</v>
      </c>
      <c r="F66" s="37">
        <f>_xlfn.XLOOKUP(C66,'[1]METAS JULHO'!$A:$A,'[1]METAS JULHO'!$D:$D)</f>
        <v>70000</v>
      </c>
      <c r="G66" s="27">
        <f>_xlfn.XLOOKUP(C66,'[1]METAS JULHO'!$A:$A,'[1]METAS JULHO'!$X:$X)</f>
        <v>0</v>
      </c>
      <c r="H66" s="26">
        <f>_xlfn.XLOOKUP(C66,'[1]METAS JULHO'!$A:$A,'[1]METAS JULHO'!$V:$V)</f>
        <v>15</v>
      </c>
      <c r="I66" s="27">
        <f>_xlfn.XLOOKUP(C66,'[1]METAS JULHO'!$A:$A,'[1]METAS JULHO'!$O:$O)</f>
        <v>0</v>
      </c>
      <c r="J66" s="39">
        <f>_xlfn.XLOOKUP(C66,'[1]METAS JULHO'!$A:$A,'[1]METAS JULHO'!$M:$M)</f>
        <v>30000</v>
      </c>
      <c r="K66" s="27">
        <f>_xlfn.XLOOKUP(C66,'[1]METAS JULHO'!$A:$A,'[1]METAS JULHO'!$Q:$Q)</f>
        <v>0</v>
      </c>
      <c r="L66" s="39">
        <f>_xlfn.XLOOKUP(C66,'[1]METAS JULHO'!$A:$A,'[1]METAS JULHO'!$P:$P)</f>
        <v>0</v>
      </c>
      <c r="M66" s="27">
        <f>_xlfn.XLOOKUP(C66,'[1]METAS JULHO'!$A:$A,'[1]METAS JULHO'!$L:$L)</f>
        <v>0</v>
      </c>
      <c r="N66" s="37">
        <f>_xlfn.XLOOKUP(C66,'[1]METAS JULHO'!$A:$A,'[1]METAS JULHO'!$J:$J)</f>
        <v>0</v>
      </c>
      <c r="O66" s="36">
        <v>46204</v>
      </c>
    </row>
    <row r="67" spans="1:15" x14ac:dyDescent="0.3">
      <c r="A67" s="17" t="s">
        <v>11</v>
      </c>
      <c r="B67" s="29" t="s">
        <v>19</v>
      </c>
      <c r="C67" s="19" t="s">
        <v>25</v>
      </c>
      <c r="D67" s="17">
        <f>_xlfn.XLOOKUP(C67,META_VENDEDOR!$C:$C,META_VENDEDOR!$D:$D)</f>
        <v>312</v>
      </c>
      <c r="E67" s="27">
        <f>_xlfn.XLOOKUP(C67,'[1]METAS JULHO'!$A:$A,'[1]METAS JULHO'!$F:$F)</f>
        <v>0</v>
      </c>
      <c r="F67" s="37">
        <f>_xlfn.XLOOKUP(C67,'[1]METAS JULHO'!$A:$A,'[1]METAS JULHO'!$D:$D)</f>
        <v>10000</v>
      </c>
      <c r="G67" s="27">
        <f>_xlfn.XLOOKUP(C67,'[1]METAS JULHO'!$A:$A,'[1]METAS JULHO'!$X:$X)</f>
        <v>0</v>
      </c>
      <c r="H67" s="26">
        <f>_xlfn.XLOOKUP(C67,'[1]METAS JULHO'!$A:$A,'[1]METAS JULHO'!$V:$V)</f>
        <v>3</v>
      </c>
      <c r="I67" s="27">
        <f>_xlfn.XLOOKUP(C67,'[1]METAS JULHO'!$A:$A,'[1]METAS JULHO'!$O:$O)</f>
        <v>0</v>
      </c>
      <c r="J67" s="39">
        <f>_xlfn.XLOOKUP(C67,'[1]METAS JULHO'!$A:$A,'[1]METAS JULHO'!$M:$M)</f>
        <v>0</v>
      </c>
      <c r="K67" s="27">
        <f>_xlfn.XLOOKUP(C67,'[1]METAS JULHO'!$A:$A,'[1]METAS JULHO'!$Q:$Q)</f>
        <v>0</v>
      </c>
      <c r="L67" s="39">
        <f>_xlfn.XLOOKUP(C67,'[1]METAS JULHO'!$A:$A,'[1]METAS JULHO'!$P:$P)</f>
        <v>0</v>
      </c>
      <c r="M67" s="27">
        <f>_xlfn.XLOOKUP(C67,'[1]METAS JULHO'!$A:$A,'[1]METAS JULHO'!$L:$L)</f>
        <v>0</v>
      </c>
      <c r="N67" s="37">
        <f>_xlfn.XLOOKUP(C67,'[1]METAS JULHO'!$A:$A,'[1]METAS JULHO'!$J:$J)</f>
        <v>1000</v>
      </c>
      <c r="O67" s="36">
        <v>46204</v>
      </c>
    </row>
    <row r="68" spans="1:15" x14ac:dyDescent="0.3">
      <c r="A68" s="17" t="s">
        <v>12</v>
      </c>
      <c r="B68" s="29" t="s">
        <v>19</v>
      </c>
      <c r="C68" s="19" t="s">
        <v>29</v>
      </c>
      <c r="D68" s="17">
        <f>_xlfn.XLOOKUP(C68,META_VENDEDOR!$C:$C,META_VENDEDOR!$D:$D)</f>
        <v>426</v>
      </c>
      <c r="E68" s="27">
        <f>_xlfn.XLOOKUP(C68,'[1]METAS JULHO'!$A:$A,'[1]METAS JULHO'!$F:$F)</f>
        <v>0</v>
      </c>
      <c r="F68" s="37">
        <f>_xlfn.XLOOKUP(C68,'[1]METAS JULHO'!$A:$A,'[1]METAS JULHO'!$D:$D)</f>
        <v>500000</v>
      </c>
      <c r="G68" s="27">
        <f>_xlfn.XLOOKUP(C68,'[1]METAS JULHO'!$A:$A,'[1]METAS JULHO'!$X:$X)</f>
        <v>0</v>
      </c>
      <c r="H68" s="26">
        <f>_xlfn.XLOOKUP(C68,'[1]METAS JULHO'!$A:$A,'[1]METAS JULHO'!$V:$V)</f>
        <v>40</v>
      </c>
      <c r="I68" s="27">
        <f>_xlfn.XLOOKUP(C68,'[1]METAS JULHO'!$A:$A,'[1]METAS JULHO'!$O:$O)</f>
        <v>0</v>
      </c>
      <c r="J68" s="39">
        <f>_xlfn.XLOOKUP(C68,'[1]METAS JULHO'!$A:$A,'[1]METAS JULHO'!$M:$M)</f>
        <v>200000</v>
      </c>
      <c r="K68" s="27">
        <f>_xlfn.XLOOKUP(C68,'[1]METAS JULHO'!$A:$A,'[1]METAS JULHO'!$Q:$Q)</f>
        <v>0</v>
      </c>
      <c r="L68" s="39">
        <f>_xlfn.XLOOKUP(C68,'[1]METAS JULHO'!$A:$A,'[1]METAS JULHO'!$P:$P)</f>
        <v>15000</v>
      </c>
      <c r="M68" s="27">
        <f>_xlfn.XLOOKUP(C68,'[1]METAS JULHO'!$A:$A,'[1]METAS JULHO'!$L:$L)</f>
        <v>0</v>
      </c>
      <c r="N68" s="37">
        <f>_xlfn.XLOOKUP(C68,'[1]METAS JULHO'!$A:$A,'[1]METAS JULHO'!$J:$J)</f>
        <v>0</v>
      </c>
      <c r="O68" s="36">
        <v>46204</v>
      </c>
    </row>
    <row r="69" spans="1:15" x14ac:dyDescent="0.3">
      <c r="A69" s="17" t="s">
        <v>12</v>
      </c>
      <c r="B69" s="29" t="s">
        <v>19</v>
      </c>
      <c r="C69" s="19" t="s">
        <v>26</v>
      </c>
      <c r="D69" s="17">
        <f>_xlfn.XLOOKUP(C69,META_VENDEDOR!$C:$C,META_VENDEDOR!$D:$D)</f>
        <v>425</v>
      </c>
      <c r="E69" s="27">
        <f>_xlfn.XLOOKUP(C69,'[1]METAS JULHO'!$A:$A,'[1]METAS JULHO'!$F:$F)</f>
        <v>0</v>
      </c>
      <c r="F69" s="37">
        <f>_xlfn.XLOOKUP(C69,'[1]METAS JULHO'!$A:$A,'[1]METAS JULHO'!$D:$D)</f>
        <v>70000</v>
      </c>
      <c r="G69" s="27">
        <f>_xlfn.XLOOKUP(C69,'[1]METAS JULHO'!$A:$A,'[1]METAS JULHO'!$X:$X)</f>
        <v>0</v>
      </c>
      <c r="H69" s="26">
        <f>_xlfn.XLOOKUP(C69,'[1]METAS JULHO'!$A:$A,'[1]METAS JULHO'!$V:$V)</f>
        <v>20</v>
      </c>
      <c r="I69" s="27">
        <f>_xlfn.XLOOKUP(C69,'[1]METAS JULHO'!$A:$A,'[1]METAS JULHO'!$O:$O)</f>
        <v>0</v>
      </c>
      <c r="J69" s="39">
        <f>_xlfn.XLOOKUP(C69,'[1]METAS JULHO'!$A:$A,'[1]METAS JULHO'!$M:$M)</f>
        <v>30000</v>
      </c>
      <c r="K69" s="27">
        <f>_xlfn.XLOOKUP(C69,'[1]METAS JULHO'!$A:$A,'[1]METAS JULHO'!$Q:$Q)</f>
        <v>0</v>
      </c>
      <c r="L69" s="39">
        <f>_xlfn.XLOOKUP(C69,'[1]METAS JULHO'!$A:$A,'[1]METAS JULHO'!$P:$P)</f>
        <v>0</v>
      </c>
      <c r="M69" s="27">
        <f>_xlfn.XLOOKUP(C69,'[1]METAS JULHO'!$A:$A,'[1]METAS JULHO'!$L:$L)</f>
        <v>0</v>
      </c>
      <c r="N69" s="37">
        <f>_xlfn.XLOOKUP(C69,'[1]METAS JULHO'!$A:$A,'[1]METAS JULHO'!$J:$J)</f>
        <v>0</v>
      </c>
      <c r="O69" s="36">
        <v>46204</v>
      </c>
    </row>
    <row r="70" spans="1:15" x14ac:dyDescent="0.3">
      <c r="A70" s="17" t="s">
        <v>12</v>
      </c>
      <c r="B70" s="29" t="s">
        <v>19</v>
      </c>
      <c r="C70" s="19" t="s">
        <v>28</v>
      </c>
      <c r="D70" s="17">
        <f>_xlfn.XLOOKUP(C70,META_VENDEDOR!$C:$C,META_VENDEDOR!$D:$D)</f>
        <v>433</v>
      </c>
      <c r="E70" s="27">
        <f>_xlfn.XLOOKUP(C70,'[1]METAS JULHO'!$A:$A,'[1]METAS JULHO'!$F:$F)</f>
        <v>0</v>
      </c>
      <c r="F70" s="37">
        <f>_xlfn.XLOOKUP(C70,'[1]METAS JULHO'!$A:$A,'[1]METAS JULHO'!$D:$D)</f>
        <v>250000</v>
      </c>
      <c r="G70" s="27">
        <f>_xlfn.XLOOKUP(C70,'[1]METAS JULHO'!$A:$A,'[1]METAS JULHO'!$X:$X)</f>
        <v>0</v>
      </c>
      <c r="H70" s="26">
        <f>_xlfn.XLOOKUP(C70,'[1]METAS JULHO'!$A:$A,'[1]METAS JULHO'!$V:$V)</f>
        <v>40</v>
      </c>
      <c r="I70" s="27">
        <f>_xlfn.XLOOKUP(C70,'[1]METAS JULHO'!$A:$A,'[1]METAS JULHO'!$O:$O)</f>
        <v>0</v>
      </c>
      <c r="J70" s="39">
        <f>_xlfn.XLOOKUP(C70,'[1]METAS JULHO'!$A:$A,'[1]METAS JULHO'!$M:$M)</f>
        <v>100000</v>
      </c>
      <c r="K70" s="27">
        <f>_xlfn.XLOOKUP(C70,'[1]METAS JULHO'!$A:$A,'[1]METAS JULHO'!$Q:$Q)</f>
        <v>0</v>
      </c>
      <c r="L70" s="39">
        <f>_xlfn.XLOOKUP(C70,'[1]METAS JULHO'!$A:$A,'[1]METAS JULHO'!$P:$P)</f>
        <v>5000</v>
      </c>
      <c r="M70" s="27">
        <f>_xlfn.XLOOKUP(C70,'[1]METAS JULHO'!$A:$A,'[1]METAS JULHO'!$L:$L)</f>
        <v>0</v>
      </c>
      <c r="N70" s="37">
        <f>_xlfn.XLOOKUP(C70,'[1]METAS JULHO'!$A:$A,'[1]METAS JULHO'!$J:$J)</f>
        <v>0</v>
      </c>
      <c r="O70" s="36">
        <v>46204</v>
      </c>
    </row>
    <row r="71" spans="1:15" x14ac:dyDescent="0.3">
      <c r="A71" s="17" t="s">
        <v>12</v>
      </c>
      <c r="B71" s="29" t="s">
        <v>19</v>
      </c>
      <c r="C71" s="19" t="s">
        <v>27</v>
      </c>
      <c r="D71" s="17">
        <f>_xlfn.XLOOKUP(C71,META_VENDEDOR!$C:$C,META_VENDEDOR!$D:$D)</f>
        <v>428</v>
      </c>
      <c r="E71" s="27">
        <f>_xlfn.XLOOKUP(C71,'[1]METAS JULHO'!$A:$A,'[1]METAS JULHO'!$F:$F)</f>
        <v>0</v>
      </c>
      <c r="F71" s="37">
        <f>_xlfn.XLOOKUP(C71,'[1]METAS JULHO'!$A:$A,'[1]METAS JULHO'!$D:$D)</f>
        <v>30000</v>
      </c>
      <c r="G71" s="27">
        <f>_xlfn.XLOOKUP(C71,'[1]METAS JULHO'!$A:$A,'[1]METAS JULHO'!$X:$X)</f>
        <v>0</v>
      </c>
      <c r="H71" s="26">
        <f>_xlfn.XLOOKUP(C71,'[1]METAS JULHO'!$A:$A,'[1]METAS JULHO'!$V:$V)</f>
        <v>5</v>
      </c>
      <c r="I71" s="27">
        <f>_xlfn.XLOOKUP(C71,'[1]METAS JULHO'!$A:$A,'[1]METAS JULHO'!$O:$O)</f>
        <v>0</v>
      </c>
      <c r="J71" s="39">
        <f>_xlfn.XLOOKUP(C71,'[1]METAS JULHO'!$A:$A,'[1]METAS JULHO'!$M:$M)</f>
        <v>0</v>
      </c>
      <c r="K71" s="27">
        <f>_xlfn.XLOOKUP(C71,'[1]METAS JULHO'!$A:$A,'[1]METAS JULHO'!$Q:$Q)</f>
        <v>0</v>
      </c>
      <c r="L71" s="39">
        <f>_xlfn.XLOOKUP(C71,'[1]METAS JULHO'!$A:$A,'[1]METAS JULHO'!$P:$P)</f>
        <v>0</v>
      </c>
      <c r="M71" s="27">
        <f>_xlfn.XLOOKUP(C71,'[1]METAS JULHO'!$A:$A,'[1]METAS JULHO'!$L:$L)</f>
        <v>0</v>
      </c>
      <c r="N71" s="37">
        <f>_xlfn.XLOOKUP(C71,'[1]METAS JULHO'!$A:$A,'[1]METAS JULHO'!$J:$J)</f>
        <v>0</v>
      </c>
      <c r="O71" s="36">
        <v>46204</v>
      </c>
    </row>
    <row r="72" spans="1:15" x14ac:dyDescent="0.3">
      <c r="A72" s="19" t="s">
        <v>94</v>
      </c>
      <c r="B72" s="29" t="s">
        <v>20</v>
      </c>
      <c r="C72" s="19" t="s">
        <v>62</v>
      </c>
      <c r="D72" s="17">
        <f>_xlfn.XLOOKUP(C72,META_VENDEDOR!$C:$C,META_VENDEDOR!$D:$D)</f>
        <v>492</v>
      </c>
      <c r="E72" s="27">
        <f>_xlfn.XLOOKUP(C72,'[1]METAS JULHO'!$A:$A,'[1]METAS JULHO'!$F:$F)</f>
        <v>0</v>
      </c>
      <c r="F72" s="37">
        <f>_xlfn.XLOOKUP(C72,'[1]METAS JULHO'!$A:$A,'[1]METAS JULHO'!$D:$D)</f>
        <v>30000</v>
      </c>
      <c r="G72" s="27">
        <f>_xlfn.XLOOKUP(C72,'[1]METAS JULHO'!$A:$A,'[1]METAS JULHO'!$X:$X)</f>
        <v>0</v>
      </c>
      <c r="H72" s="26">
        <f>_xlfn.XLOOKUP(C72,'[1]METAS JULHO'!$A:$A,'[1]METAS JULHO'!$V:$V)</f>
        <v>20</v>
      </c>
      <c r="I72" s="27">
        <f>_xlfn.XLOOKUP(C72,'[1]METAS JULHO'!$A:$A,'[1]METAS JULHO'!$O:$O)</f>
        <v>0</v>
      </c>
      <c r="J72" s="39">
        <f>_xlfn.XLOOKUP(C72,'[1]METAS JULHO'!$A:$A,'[1]METAS JULHO'!$M:$M)</f>
        <v>10000</v>
      </c>
      <c r="K72" s="27">
        <f>_xlfn.XLOOKUP(C72,'[1]METAS JULHO'!$A:$A,'[1]METAS JULHO'!$Q:$Q)</f>
        <v>0</v>
      </c>
      <c r="L72" s="39">
        <f>_xlfn.XLOOKUP(C72,'[1]METAS JULHO'!$A:$A,'[1]METAS JULHO'!$P:$P)</f>
        <v>5000</v>
      </c>
      <c r="M72" s="27">
        <f>_xlfn.XLOOKUP(C72,'[1]METAS JULHO'!$A:$A,'[1]METAS JULHO'!$L:$L)</f>
        <v>0</v>
      </c>
      <c r="N72" s="37">
        <f>_xlfn.XLOOKUP(C72,'[1]METAS JULHO'!$A:$A,'[1]METAS JULHO'!$J:$J)</f>
        <v>1000</v>
      </c>
      <c r="O72" s="36">
        <v>46204</v>
      </c>
    </row>
    <row r="73" spans="1:15" x14ac:dyDescent="0.3">
      <c r="A73" s="19" t="s">
        <v>94</v>
      </c>
      <c r="B73" s="29" t="s">
        <v>20</v>
      </c>
      <c r="C73" s="19" t="s">
        <v>63</v>
      </c>
      <c r="D73" s="17">
        <f>_xlfn.XLOOKUP(C73,META_VENDEDOR!$C:$C,META_VENDEDOR!$D:$D)</f>
        <v>399</v>
      </c>
      <c r="E73" s="27">
        <f>_xlfn.XLOOKUP(C73,'[1]METAS JULHO'!$A:$A,'[1]METAS JULHO'!$F:$F)</f>
        <v>0</v>
      </c>
      <c r="F73" s="37">
        <f>_xlfn.XLOOKUP(C73,'[1]METAS JULHO'!$A:$A,'[1]METAS JULHO'!$D:$D)</f>
        <v>20000</v>
      </c>
      <c r="G73" s="27">
        <f>_xlfn.XLOOKUP(C73,'[1]METAS JULHO'!$A:$A,'[1]METAS JULHO'!$X:$X)</f>
        <v>0</v>
      </c>
      <c r="H73" s="26">
        <f>_xlfn.XLOOKUP(C73,'[1]METAS JULHO'!$A:$A,'[1]METAS JULHO'!$V:$V)</f>
        <v>2</v>
      </c>
      <c r="I73" s="27">
        <f>_xlfn.XLOOKUP(C73,'[1]METAS JULHO'!$A:$A,'[1]METAS JULHO'!$O:$O)</f>
        <v>0</v>
      </c>
      <c r="J73" s="39">
        <f>_xlfn.XLOOKUP(C73,'[1]METAS JULHO'!$A:$A,'[1]METAS JULHO'!$M:$M)</f>
        <v>0</v>
      </c>
      <c r="K73" s="27">
        <f>_xlfn.XLOOKUP(C73,'[1]METAS JULHO'!$A:$A,'[1]METAS JULHO'!$Q:$Q)</f>
        <v>0</v>
      </c>
      <c r="L73" s="39">
        <f>_xlfn.XLOOKUP(C73,'[1]METAS JULHO'!$A:$A,'[1]METAS JULHO'!$P:$P)</f>
        <v>0</v>
      </c>
      <c r="M73" s="27">
        <f>_xlfn.XLOOKUP(C73,'[1]METAS JULHO'!$A:$A,'[1]METAS JULHO'!$L:$L)</f>
        <v>0</v>
      </c>
      <c r="N73" s="37">
        <f>_xlfn.XLOOKUP(C73,'[1]METAS JULHO'!$A:$A,'[1]METAS JULHO'!$J:$J)</f>
        <v>5000</v>
      </c>
      <c r="O73" s="36">
        <v>46204</v>
      </c>
    </row>
    <row r="74" spans="1:15" x14ac:dyDescent="0.3">
      <c r="A74" s="19" t="s">
        <v>94</v>
      </c>
      <c r="B74" s="29" t="s">
        <v>20</v>
      </c>
      <c r="C74" s="19" t="s">
        <v>64</v>
      </c>
      <c r="D74" s="17">
        <f>_xlfn.XLOOKUP(C74,META_VENDEDOR!$C:$C,META_VENDEDOR!$D:$D)</f>
        <v>493</v>
      </c>
      <c r="E74" s="27">
        <f>_xlfn.XLOOKUP(C74,'[1]METAS JULHO'!$A:$A,'[1]METAS JULHO'!$F:$F)</f>
        <v>0</v>
      </c>
      <c r="F74" s="37">
        <f>_xlfn.XLOOKUP(C74,'[1]METAS JULHO'!$A:$A,'[1]METAS JULHO'!$D:$D)</f>
        <v>50000</v>
      </c>
      <c r="G74" s="27">
        <f>_xlfn.XLOOKUP(C74,'[1]METAS JULHO'!$A:$A,'[1]METAS JULHO'!$X:$X)</f>
        <v>0</v>
      </c>
      <c r="H74" s="26">
        <f>_xlfn.XLOOKUP(C74,'[1]METAS JULHO'!$A:$A,'[1]METAS JULHO'!$V:$V)</f>
        <v>30</v>
      </c>
      <c r="I74" s="27">
        <f>_xlfn.XLOOKUP(C74,'[1]METAS JULHO'!$A:$A,'[1]METAS JULHO'!$O:$O)</f>
        <v>0</v>
      </c>
      <c r="J74" s="39">
        <f>_xlfn.XLOOKUP(C74,'[1]METAS JULHO'!$A:$A,'[1]METAS JULHO'!$M:$M)</f>
        <v>30000</v>
      </c>
      <c r="K74" s="27">
        <f>_xlfn.XLOOKUP(C74,'[1]METAS JULHO'!$A:$A,'[1]METAS JULHO'!$Q:$Q)</f>
        <v>0</v>
      </c>
      <c r="L74" s="39">
        <f>_xlfn.XLOOKUP(C74,'[1]METAS JULHO'!$A:$A,'[1]METAS JULHO'!$P:$P)</f>
        <v>10000</v>
      </c>
      <c r="M74" s="27">
        <f>_xlfn.XLOOKUP(C74,'[1]METAS JULHO'!$A:$A,'[1]METAS JULHO'!$L:$L)</f>
        <v>0</v>
      </c>
      <c r="N74" s="37">
        <f>_xlfn.XLOOKUP(C74,'[1]METAS JULHO'!$A:$A,'[1]METAS JULHO'!$J:$J)</f>
        <v>1000</v>
      </c>
      <c r="O74" s="36">
        <v>46204</v>
      </c>
    </row>
    <row r="75" spans="1:15" x14ac:dyDescent="0.3">
      <c r="A75" s="19" t="s">
        <v>94</v>
      </c>
      <c r="B75" s="29" t="s">
        <v>20</v>
      </c>
      <c r="C75" s="19" t="s">
        <v>35</v>
      </c>
      <c r="D75" s="17">
        <f>_xlfn.XLOOKUP(C75,META_VENDEDOR!$C:$C,META_VENDEDOR!$D:$D)</f>
        <v>465</v>
      </c>
      <c r="E75" s="27">
        <f>_xlfn.XLOOKUP(C75,'[1]METAS JULHO'!$A:$A,'[1]METAS JULHO'!$F:$F)</f>
        <v>0</v>
      </c>
      <c r="F75" s="37">
        <f>_xlfn.XLOOKUP(C75,'[1]METAS JULHO'!$A:$A,'[1]METAS JULHO'!$D:$D)</f>
        <v>50000</v>
      </c>
      <c r="G75" s="27">
        <f>_xlfn.XLOOKUP(C75,'[1]METAS JULHO'!$A:$A,'[1]METAS JULHO'!$X:$X)</f>
        <v>0</v>
      </c>
      <c r="H75" s="26">
        <f>_xlfn.XLOOKUP(C75,'[1]METAS JULHO'!$A:$A,'[1]METAS JULHO'!$V:$V)</f>
        <v>20</v>
      </c>
      <c r="I75" s="27">
        <f>_xlfn.XLOOKUP(C75,'[1]METAS JULHO'!$A:$A,'[1]METAS JULHO'!$O:$O)</f>
        <v>0</v>
      </c>
      <c r="J75" s="39">
        <f>_xlfn.XLOOKUP(C75,'[1]METAS JULHO'!$A:$A,'[1]METAS JULHO'!$M:$M)</f>
        <v>20000</v>
      </c>
      <c r="K75" s="27">
        <f>_xlfn.XLOOKUP(C75,'[1]METAS JULHO'!$A:$A,'[1]METAS JULHO'!$Q:$Q)</f>
        <v>0</v>
      </c>
      <c r="L75" s="39">
        <f>_xlfn.XLOOKUP(C75,'[1]METAS JULHO'!$A:$A,'[1]METAS JULHO'!$P:$P)</f>
        <v>5000</v>
      </c>
      <c r="M75" s="27">
        <f>_xlfn.XLOOKUP(C75,'[1]METAS JULHO'!$A:$A,'[1]METAS JULHO'!$L:$L)</f>
        <v>0</v>
      </c>
      <c r="N75" s="37">
        <f>_xlfn.XLOOKUP(C75,'[1]METAS JULHO'!$A:$A,'[1]METAS JULHO'!$J:$J)</f>
        <v>0</v>
      </c>
      <c r="O75" s="36">
        <v>46204</v>
      </c>
    </row>
    <row r="76" spans="1:15" x14ac:dyDescent="0.3">
      <c r="A76" s="19" t="s">
        <v>94</v>
      </c>
      <c r="B76" s="29" t="s">
        <v>20</v>
      </c>
      <c r="C76" s="19" t="s">
        <v>32</v>
      </c>
      <c r="D76" s="17">
        <f>_xlfn.XLOOKUP(C76,META_VENDEDOR!$C:$C,META_VENDEDOR!$D:$D)</f>
        <v>460</v>
      </c>
      <c r="E76" s="27">
        <f>_xlfn.XLOOKUP(C76,'[1]METAS JULHO'!$A:$A,'[1]METAS JULHO'!$F:$F)</f>
        <v>0</v>
      </c>
      <c r="F76" s="37">
        <f>_xlfn.XLOOKUP(C76,'[1]METAS JULHO'!$A:$A,'[1]METAS JULHO'!$D:$D)</f>
        <v>160000</v>
      </c>
      <c r="G76" s="27">
        <f>_xlfn.XLOOKUP(C76,'[1]METAS JULHO'!$A:$A,'[1]METAS JULHO'!$X:$X)</f>
        <v>0</v>
      </c>
      <c r="H76" s="26">
        <f>_xlfn.XLOOKUP(C76,'[1]METAS JULHO'!$A:$A,'[1]METAS JULHO'!$V:$V)</f>
        <v>40</v>
      </c>
      <c r="I76" s="27">
        <f>_xlfn.XLOOKUP(C76,'[1]METAS JULHO'!$A:$A,'[1]METAS JULHO'!$O:$O)</f>
        <v>0</v>
      </c>
      <c r="J76" s="39">
        <f>_xlfn.XLOOKUP(C76,'[1]METAS JULHO'!$A:$A,'[1]METAS JULHO'!$M:$M)</f>
        <v>70000</v>
      </c>
      <c r="K76" s="27">
        <f>_xlfn.XLOOKUP(C76,'[1]METAS JULHO'!$A:$A,'[1]METAS JULHO'!$Q:$Q)</f>
        <v>0</v>
      </c>
      <c r="L76" s="39">
        <f>_xlfn.XLOOKUP(C76,'[1]METAS JULHO'!$A:$A,'[1]METAS JULHO'!$P:$P)</f>
        <v>10000</v>
      </c>
      <c r="M76" s="27">
        <f>_xlfn.XLOOKUP(C76,'[1]METAS JULHO'!$A:$A,'[1]METAS JULHO'!$L:$L)</f>
        <v>0</v>
      </c>
      <c r="N76" s="37">
        <f>_xlfn.XLOOKUP(C76,'[1]METAS JULHO'!$A:$A,'[1]METAS JULHO'!$J:$J)</f>
        <v>1000</v>
      </c>
      <c r="O76" s="36">
        <v>46204</v>
      </c>
    </row>
    <row r="77" spans="1:15" x14ac:dyDescent="0.3">
      <c r="A77" s="19" t="s">
        <v>94</v>
      </c>
      <c r="B77" s="29" t="s">
        <v>20</v>
      </c>
      <c r="C77" s="19" t="s">
        <v>31</v>
      </c>
      <c r="D77" s="17">
        <f>_xlfn.XLOOKUP(C77,META_VENDEDOR!$C:$C,META_VENDEDOR!$D:$D)</f>
        <v>466</v>
      </c>
      <c r="E77" s="27">
        <f>_xlfn.XLOOKUP(C77,'[1]METAS JULHO'!$A:$A,'[1]METAS JULHO'!$F:$F)</f>
        <v>0</v>
      </c>
      <c r="F77" s="37">
        <f>_xlfn.XLOOKUP(C77,'[1]METAS JULHO'!$A:$A,'[1]METAS JULHO'!$D:$D)</f>
        <v>50000</v>
      </c>
      <c r="G77" s="27">
        <f>_xlfn.XLOOKUP(C77,'[1]METAS JULHO'!$A:$A,'[1]METAS JULHO'!$X:$X)</f>
        <v>0</v>
      </c>
      <c r="H77" s="26">
        <f>_xlfn.XLOOKUP(C77,'[1]METAS JULHO'!$A:$A,'[1]METAS JULHO'!$V:$V)</f>
        <v>20</v>
      </c>
      <c r="I77" s="27">
        <f>_xlfn.XLOOKUP(C77,'[1]METAS JULHO'!$A:$A,'[1]METAS JULHO'!$O:$O)</f>
        <v>0</v>
      </c>
      <c r="J77" s="39">
        <f>_xlfn.XLOOKUP(C77,'[1]METAS JULHO'!$A:$A,'[1]METAS JULHO'!$M:$M)</f>
        <v>15000</v>
      </c>
      <c r="K77" s="27">
        <f>_xlfn.XLOOKUP(C77,'[1]METAS JULHO'!$A:$A,'[1]METAS JULHO'!$Q:$Q)</f>
        <v>0</v>
      </c>
      <c r="L77" s="39">
        <f>_xlfn.XLOOKUP(C77,'[1]METAS JULHO'!$A:$A,'[1]METAS JULHO'!$P:$P)</f>
        <v>5000</v>
      </c>
      <c r="M77" s="27">
        <f>_xlfn.XLOOKUP(C77,'[1]METAS JULHO'!$A:$A,'[1]METAS JULHO'!$L:$L)</f>
        <v>0</v>
      </c>
      <c r="N77" s="37">
        <f>_xlfn.XLOOKUP(C77,'[1]METAS JULHO'!$A:$A,'[1]METAS JULHO'!$J:$J)</f>
        <v>1000</v>
      </c>
      <c r="O77" s="36">
        <v>46204</v>
      </c>
    </row>
    <row r="78" spans="1:15" x14ac:dyDescent="0.3">
      <c r="A78" s="19" t="s">
        <v>94</v>
      </c>
      <c r="B78" s="29" t="s">
        <v>20</v>
      </c>
      <c r="C78" s="19" t="s">
        <v>37</v>
      </c>
      <c r="D78" s="17">
        <f>_xlfn.XLOOKUP(C78,META_VENDEDOR!$C:$C,META_VENDEDOR!$D:$D)</f>
        <v>472</v>
      </c>
      <c r="E78" s="27">
        <f>_xlfn.XLOOKUP(C78,'[1]METAS JULHO'!$A:$A,'[1]METAS JULHO'!$F:$F)</f>
        <v>0</v>
      </c>
      <c r="F78" s="37">
        <f>_xlfn.XLOOKUP(C78,'[1]METAS JULHO'!$A:$A,'[1]METAS JULHO'!$D:$D)</f>
        <v>50000</v>
      </c>
      <c r="G78" s="27">
        <f>_xlfn.XLOOKUP(C78,'[1]METAS JULHO'!$A:$A,'[1]METAS JULHO'!$X:$X)</f>
        <v>0</v>
      </c>
      <c r="H78" s="26">
        <f>_xlfn.XLOOKUP(C78,'[1]METAS JULHO'!$A:$A,'[1]METAS JULHO'!$V:$V)</f>
        <v>20</v>
      </c>
      <c r="I78" s="27">
        <f>_xlfn.XLOOKUP(C78,'[1]METAS JULHO'!$A:$A,'[1]METAS JULHO'!$O:$O)</f>
        <v>0</v>
      </c>
      <c r="J78" s="39">
        <f>_xlfn.XLOOKUP(C78,'[1]METAS JULHO'!$A:$A,'[1]METAS JULHO'!$M:$M)</f>
        <v>15000</v>
      </c>
      <c r="K78" s="27">
        <f>_xlfn.XLOOKUP(C78,'[1]METAS JULHO'!$A:$A,'[1]METAS JULHO'!$Q:$Q)</f>
        <v>0</v>
      </c>
      <c r="L78" s="39">
        <f>_xlfn.XLOOKUP(C78,'[1]METAS JULHO'!$A:$A,'[1]METAS JULHO'!$P:$P)</f>
        <v>3000</v>
      </c>
      <c r="M78" s="27">
        <f>_xlfn.XLOOKUP(C78,'[1]METAS JULHO'!$A:$A,'[1]METAS JULHO'!$L:$L)</f>
        <v>0</v>
      </c>
      <c r="N78" s="37">
        <f>_xlfn.XLOOKUP(C78,'[1]METAS JULHO'!$A:$A,'[1]METAS JULHO'!$J:$J)</f>
        <v>0</v>
      </c>
      <c r="O78" s="36">
        <v>46204</v>
      </c>
    </row>
    <row r="79" spans="1:15" x14ac:dyDescent="0.3">
      <c r="A79" s="19" t="s">
        <v>94</v>
      </c>
      <c r="B79" s="29" t="s">
        <v>20</v>
      </c>
      <c r="C79" s="19" t="s">
        <v>36</v>
      </c>
      <c r="D79" s="17">
        <f>_xlfn.XLOOKUP(C79,META_VENDEDOR!$C:$C,META_VENDEDOR!$D:$D)</f>
        <v>471</v>
      </c>
      <c r="E79" s="27">
        <f>_xlfn.XLOOKUP(C79,'[1]METAS JULHO'!$A:$A,'[1]METAS JULHO'!$F:$F)</f>
        <v>0</v>
      </c>
      <c r="F79" s="37">
        <f>_xlfn.XLOOKUP(C79,'[1]METAS JULHO'!$A:$A,'[1]METAS JULHO'!$D:$D)</f>
        <v>30000</v>
      </c>
      <c r="G79" s="27">
        <f>_xlfn.XLOOKUP(C79,'[1]METAS JULHO'!$A:$A,'[1]METAS JULHO'!$X:$X)</f>
        <v>0</v>
      </c>
      <c r="H79" s="26">
        <f>_xlfn.XLOOKUP(C79,'[1]METAS JULHO'!$A:$A,'[1]METAS JULHO'!$V:$V)</f>
        <v>20</v>
      </c>
      <c r="I79" s="27">
        <f>_xlfn.XLOOKUP(C79,'[1]METAS JULHO'!$A:$A,'[1]METAS JULHO'!$O:$O)</f>
        <v>0</v>
      </c>
      <c r="J79" s="39">
        <f>_xlfn.XLOOKUP(C79,'[1]METAS JULHO'!$A:$A,'[1]METAS JULHO'!$M:$M)</f>
        <v>15000</v>
      </c>
      <c r="K79" s="27">
        <f>_xlfn.XLOOKUP(C79,'[1]METAS JULHO'!$A:$A,'[1]METAS JULHO'!$Q:$Q)</f>
        <v>0</v>
      </c>
      <c r="L79" s="39">
        <f>_xlfn.XLOOKUP(C79,'[1]METAS JULHO'!$A:$A,'[1]METAS JULHO'!$P:$P)</f>
        <v>3000</v>
      </c>
      <c r="M79" s="27">
        <f>_xlfn.XLOOKUP(C79,'[1]METAS JULHO'!$A:$A,'[1]METAS JULHO'!$L:$L)</f>
        <v>0</v>
      </c>
      <c r="N79" s="37">
        <f>_xlfn.XLOOKUP(C79,'[1]METAS JULHO'!$A:$A,'[1]METAS JULHO'!$J:$J)</f>
        <v>0</v>
      </c>
      <c r="O79" s="36">
        <v>46204</v>
      </c>
    </row>
    <row r="80" spans="1:15" x14ac:dyDescent="0.3">
      <c r="A80" s="19" t="s">
        <v>94</v>
      </c>
      <c r="B80" s="29" t="s">
        <v>20</v>
      </c>
      <c r="C80" s="19" t="s">
        <v>33</v>
      </c>
      <c r="D80" s="17">
        <f>_xlfn.XLOOKUP(C80,META_VENDEDOR!$C:$C,META_VENDEDOR!$D:$D)</f>
        <v>463</v>
      </c>
      <c r="E80" s="27">
        <f>_xlfn.XLOOKUP(C80,'[1]METAS JULHO'!$A:$A,'[1]METAS JULHO'!$F:$F)</f>
        <v>0</v>
      </c>
      <c r="F80" s="37">
        <f>_xlfn.XLOOKUP(C80,'[1]METAS JULHO'!$A:$A,'[1]METAS JULHO'!$D:$D)</f>
        <v>60000</v>
      </c>
      <c r="G80" s="27">
        <f>_xlfn.XLOOKUP(C80,'[1]METAS JULHO'!$A:$A,'[1]METAS JULHO'!$X:$X)</f>
        <v>0</v>
      </c>
      <c r="H80" s="26">
        <f>_xlfn.XLOOKUP(C80,'[1]METAS JULHO'!$A:$A,'[1]METAS JULHO'!$V:$V)</f>
        <v>30</v>
      </c>
      <c r="I80" s="27">
        <f>_xlfn.XLOOKUP(C80,'[1]METAS JULHO'!$A:$A,'[1]METAS JULHO'!$O:$O)</f>
        <v>0</v>
      </c>
      <c r="J80" s="39">
        <f>_xlfn.XLOOKUP(C80,'[1]METAS JULHO'!$A:$A,'[1]METAS JULHO'!$M:$M)</f>
        <v>30000</v>
      </c>
      <c r="K80" s="27">
        <f>_xlfn.XLOOKUP(C80,'[1]METAS JULHO'!$A:$A,'[1]METAS JULHO'!$Q:$Q)</f>
        <v>0</v>
      </c>
      <c r="L80" s="39">
        <f>_xlfn.XLOOKUP(C80,'[1]METAS JULHO'!$A:$A,'[1]METAS JULHO'!$P:$P)</f>
        <v>5000</v>
      </c>
      <c r="M80" s="27">
        <f>_xlfn.XLOOKUP(C80,'[1]METAS JULHO'!$A:$A,'[1]METAS JULHO'!$L:$L)</f>
        <v>0</v>
      </c>
      <c r="N80" s="37">
        <f>_xlfn.XLOOKUP(C80,'[1]METAS JULHO'!$A:$A,'[1]METAS JULHO'!$J:$J)</f>
        <v>1000</v>
      </c>
      <c r="O80" s="36">
        <v>46204</v>
      </c>
    </row>
    <row r="81" spans="1:15" x14ac:dyDescent="0.3">
      <c r="A81" s="19" t="s">
        <v>94</v>
      </c>
      <c r="B81" s="29" t="s">
        <v>20</v>
      </c>
      <c r="C81" s="19" t="s">
        <v>34</v>
      </c>
      <c r="D81" s="17">
        <f>_xlfn.XLOOKUP(C81,META_VENDEDOR!$C:$C,META_VENDEDOR!$D:$D)</f>
        <v>461</v>
      </c>
      <c r="E81" s="27">
        <f>_xlfn.XLOOKUP(C81,'[1]METAS JULHO'!$A:$A,'[1]METAS JULHO'!$F:$F)</f>
        <v>0</v>
      </c>
      <c r="F81" s="37">
        <f>_xlfn.XLOOKUP(C81,'[1]METAS JULHO'!$A:$A,'[1]METAS JULHO'!$D:$D)</f>
        <v>110000</v>
      </c>
      <c r="G81" s="27">
        <f>_xlfn.XLOOKUP(C81,'[1]METAS JULHO'!$A:$A,'[1]METAS JULHO'!$X:$X)</f>
        <v>0</v>
      </c>
      <c r="H81" s="26">
        <f>_xlfn.XLOOKUP(C81,'[1]METAS JULHO'!$A:$A,'[1]METAS JULHO'!$V:$V)</f>
        <v>30</v>
      </c>
      <c r="I81" s="27">
        <f>_xlfn.XLOOKUP(C81,'[1]METAS JULHO'!$A:$A,'[1]METAS JULHO'!$O:$O)</f>
        <v>0</v>
      </c>
      <c r="J81" s="39">
        <f>_xlfn.XLOOKUP(C81,'[1]METAS JULHO'!$A:$A,'[1]METAS JULHO'!$M:$M)</f>
        <v>50000</v>
      </c>
      <c r="K81" s="27">
        <f>_xlfn.XLOOKUP(C81,'[1]METAS JULHO'!$A:$A,'[1]METAS JULHO'!$Q:$Q)</f>
        <v>0</v>
      </c>
      <c r="L81" s="39">
        <f>_xlfn.XLOOKUP(C81,'[1]METAS JULHO'!$A:$A,'[1]METAS JULHO'!$P:$P)</f>
        <v>5000</v>
      </c>
      <c r="M81" s="27">
        <f>_xlfn.XLOOKUP(C81,'[1]METAS JULHO'!$A:$A,'[1]METAS JULHO'!$L:$L)</f>
        <v>0</v>
      </c>
      <c r="N81" s="37">
        <f>_xlfn.XLOOKUP(C81,'[1]METAS JULHO'!$A:$A,'[1]METAS JULHO'!$J:$J)</f>
        <v>1000</v>
      </c>
      <c r="O81" s="36">
        <v>46204</v>
      </c>
    </row>
    <row r="82" spans="1:15" x14ac:dyDescent="0.3">
      <c r="A82" s="17" t="s">
        <v>94</v>
      </c>
      <c r="B82" s="29" t="s">
        <v>20</v>
      </c>
      <c r="C82" s="19" t="s">
        <v>30</v>
      </c>
      <c r="D82" s="17">
        <f>_xlfn.XLOOKUP(C82,META_VENDEDOR!$C:$C,META_VENDEDOR!$D:$D)</f>
        <v>467</v>
      </c>
      <c r="E82" s="27">
        <f>_xlfn.XLOOKUP(C82,'[1]METAS JULHO'!$A:$A,'[1]METAS JULHO'!$F:$F)</f>
        <v>0</v>
      </c>
      <c r="F82" s="37">
        <f>_xlfn.XLOOKUP(C82,'[1]METAS JULHO'!$A:$A,'[1]METAS JULHO'!$D:$D)</f>
        <v>90000</v>
      </c>
      <c r="G82" s="27">
        <f>_xlfn.XLOOKUP(C82,'[1]METAS JULHO'!$A:$A,'[1]METAS JULHO'!$X:$X)</f>
        <v>0</v>
      </c>
      <c r="H82" s="26">
        <f>_xlfn.XLOOKUP(C82,'[1]METAS JULHO'!$A:$A,'[1]METAS JULHO'!$V:$V)</f>
        <v>20</v>
      </c>
      <c r="I82" s="27">
        <f>_xlfn.XLOOKUP(C82,'[1]METAS JULHO'!$A:$A,'[1]METAS JULHO'!$O:$O)</f>
        <v>0</v>
      </c>
      <c r="J82" s="39">
        <f>_xlfn.XLOOKUP(C82,'[1]METAS JULHO'!$A:$A,'[1]METAS JULHO'!$M:$M)</f>
        <v>40000</v>
      </c>
      <c r="K82" s="27">
        <f>_xlfn.XLOOKUP(C82,'[1]METAS JULHO'!$A:$A,'[1]METAS JULHO'!$Q:$Q)</f>
        <v>0</v>
      </c>
      <c r="L82" s="39">
        <f>_xlfn.XLOOKUP(C82,'[1]METAS JULHO'!$A:$A,'[1]METAS JULHO'!$P:$P)</f>
        <v>10000</v>
      </c>
      <c r="M82" s="27">
        <f>_xlfn.XLOOKUP(C82,'[1]METAS JULHO'!$A:$A,'[1]METAS JULHO'!$L:$L)</f>
        <v>0</v>
      </c>
      <c r="N82" s="37">
        <f>_xlfn.XLOOKUP(C82,'[1]METAS JULHO'!$A:$A,'[1]METAS JULHO'!$J:$J)</f>
        <v>1000</v>
      </c>
      <c r="O82" s="36">
        <v>46204</v>
      </c>
    </row>
    <row r="83" spans="1:15" x14ac:dyDescent="0.3">
      <c r="A83" s="17" t="s">
        <v>11</v>
      </c>
      <c r="B83" s="29" t="s">
        <v>20</v>
      </c>
      <c r="C83" s="19" t="s">
        <v>61</v>
      </c>
      <c r="D83" s="17">
        <f>_xlfn.XLOOKUP(C83,META_VENDEDOR!$C:$C,META_VENDEDOR!$D:$D)</f>
        <v>483</v>
      </c>
      <c r="E83" s="27">
        <f>_xlfn.XLOOKUP(C83,'[1]METAS JULHO'!$A:$A,'[1]METAS JULHO'!$F:$F)</f>
        <v>0</v>
      </c>
      <c r="F83" s="37">
        <f>_xlfn.XLOOKUP(C83,'[1]METAS JULHO'!$A:$A,'[1]METAS JULHO'!$D:$D)</f>
        <v>10000</v>
      </c>
      <c r="G83" s="27">
        <f>_xlfn.XLOOKUP(C83,'[1]METAS JULHO'!$A:$A,'[1]METAS JULHO'!$X:$X)</f>
        <v>0</v>
      </c>
      <c r="H83" s="26">
        <f>_xlfn.XLOOKUP(C83,'[1]METAS JULHO'!$A:$A,'[1]METAS JULHO'!$V:$V)</f>
        <v>4</v>
      </c>
      <c r="I83" s="27">
        <f>_xlfn.XLOOKUP(C83,'[1]METAS JULHO'!$A:$A,'[1]METAS JULHO'!$O:$O)</f>
        <v>0</v>
      </c>
      <c r="J83" s="39">
        <f>_xlfn.XLOOKUP(C83,'[1]METAS JULHO'!$A:$A,'[1]METAS JULHO'!$M:$M)</f>
        <v>5000</v>
      </c>
      <c r="K83" s="27">
        <f>_xlfn.XLOOKUP(C83,'[1]METAS JULHO'!$A:$A,'[1]METAS JULHO'!$Q:$Q)</f>
        <v>0</v>
      </c>
      <c r="L83" s="39">
        <f>_xlfn.XLOOKUP(C83,'[1]METAS JULHO'!$A:$A,'[1]METAS JULHO'!$P:$P)</f>
        <v>0</v>
      </c>
      <c r="M83" s="27">
        <f>_xlfn.XLOOKUP(C83,'[1]METAS JULHO'!$A:$A,'[1]METAS JULHO'!$L:$L)</f>
        <v>0</v>
      </c>
      <c r="N83" s="37">
        <f>_xlfn.XLOOKUP(C83,'[1]METAS JULHO'!$A:$A,'[1]METAS JULHO'!$J:$J)</f>
        <v>0</v>
      </c>
      <c r="O83" s="36">
        <v>46204</v>
      </c>
    </row>
    <row r="84" spans="1:15" x14ac:dyDescent="0.3">
      <c r="A84" s="17" t="s">
        <v>11</v>
      </c>
      <c r="B84" s="29" t="s">
        <v>20</v>
      </c>
      <c r="C84" s="19" t="s">
        <v>82</v>
      </c>
      <c r="D84" s="17">
        <f>_xlfn.XLOOKUP(C84,META_VENDEDOR!$C:$C,META_VENDEDOR!$D:$D)</f>
        <v>496</v>
      </c>
      <c r="E84" s="27">
        <f>_xlfn.XLOOKUP(C84,'[1]METAS JULHO'!$A:$A,'[1]METAS JULHO'!$F:$F)</f>
        <v>0</v>
      </c>
      <c r="F84" s="37">
        <f>_xlfn.XLOOKUP(C84,'[1]METAS JULHO'!$A:$A,'[1]METAS JULHO'!$D:$D)</f>
        <v>30000</v>
      </c>
      <c r="G84" s="27">
        <f>_xlfn.XLOOKUP(C84,'[1]METAS JULHO'!$A:$A,'[1]METAS JULHO'!$X:$X)</f>
        <v>0</v>
      </c>
      <c r="H84" s="26">
        <f>_xlfn.XLOOKUP(C84,'[1]METAS JULHO'!$A:$A,'[1]METAS JULHO'!$V:$V)</f>
        <v>20</v>
      </c>
      <c r="I84" s="27">
        <f>_xlfn.XLOOKUP(C84,'[1]METAS JULHO'!$A:$A,'[1]METAS JULHO'!$O:$O)</f>
        <v>0</v>
      </c>
      <c r="J84" s="39">
        <f>_xlfn.XLOOKUP(C84,'[1]METAS JULHO'!$A:$A,'[1]METAS JULHO'!$M:$M)</f>
        <v>5000</v>
      </c>
      <c r="K84" s="27">
        <f>_xlfn.XLOOKUP(C84,'[1]METAS JULHO'!$A:$A,'[1]METAS JULHO'!$Q:$Q)</f>
        <v>0</v>
      </c>
      <c r="L84" s="39">
        <f>_xlfn.XLOOKUP(C84,'[1]METAS JULHO'!$A:$A,'[1]METAS JULHO'!$P:$P)</f>
        <v>0</v>
      </c>
      <c r="M84" s="27">
        <f>_xlfn.XLOOKUP(C84,'[1]METAS JULHO'!$A:$A,'[1]METAS JULHO'!$L:$L)</f>
        <v>0</v>
      </c>
      <c r="N84" s="37">
        <f>_xlfn.XLOOKUP(C84,'[1]METAS JULHO'!$A:$A,'[1]METAS JULHO'!$J:$J)</f>
        <v>0</v>
      </c>
      <c r="O84" s="36">
        <v>46204</v>
      </c>
    </row>
    <row r="85" spans="1:15" x14ac:dyDescent="0.3">
      <c r="A85" s="17" t="s">
        <v>11</v>
      </c>
      <c r="B85" s="29" t="s">
        <v>20</v>
      </c>
      <c r="C85" s="19" t="s">
        <v>66</v>
      </c>
      <c r="D85" s="17">
        <f>_xlfn.XLOOKUP(C85,META_VENDEDOR!$C:$C,META_VENDEDOR!$D:$D)</f>
        <v>495</v>
      </c>
      <c r="E85" s="27">
        <f>_xlfn.XLOOKUP(C85,'[1]METAS JULHO'!$A:$A,'[1]METAS JULHO'!$F:$F)</f>
        <v>0</v>
      </c>
      <c r="F85" s="37">
        <f>_xlfn.XLOOKUP(C85,'[1]METAS JULHO'!$A:$A,'[1]METAS JULHO'!$D:$D)</f>
        <v>30000</v>
      </c>
      <c r="G85" s="27">
        <f>_xlfn.XLOOKUP(C85,'[1]METAS JULHO'!$A:$A,'[1]METAS JULHO'!$X:$X)</f>
        <v>0</v>
      </c>
      <c r="H85" s="26">
        <f>_xlfn.XLOOKUP(C85,'[1]METAS JULHO'!$A:$A,'[1]METAS JULHO'!$V:$V)</f>
        <v>20</v>
      </c>
      <c r="I85" s="27">
        <f>_xlfn.XLOOKUP(C85,'[1]METAS JULHO'!$A:$A,'[1]METAS JULHO'!$O:$O)</f>
        <v>0</v>
      </c>
      <c r="J85" s="39">
        <f>_xlfn.XLOOKUP(C85,'[1]METAS JULHO'!$A:$A,'[1]METAS JULHO'!$M:$M)</f>
        <v>20000</v>
      </c>
      <c r="K85" s="27">
        <f>_xlfn.XLOOKUP(C85,'[1]METAS JULHO'!$A:$A,'[1]METAS JULHO'!$Q:$Q)</f>
        <v>0</v>
      </c>
      <c r="L85" s="39">
        <f>_xlfn.XLOOKUP(C85,'[1]METAS JULHO'!$A:$A,'[1]METAS JULHO'!$P:$P)</f>
        <v>5000</v>
      </c>
      <c r="M85" s="27">
        <f>_xlfn.XLOOKUP(C85,'[1]METAS JULHO'!$A:$A,'[1]METAS JULHO'!$L:$L)</f>
        <v>0</v>
      </c>
      <c r="N85" s="37">
        <f>_xlfn.XLOOKUP(C85,'[1]METAS JULHO'!$A:$A,'[1]METAS JULHO'!$J:$J)</f>
        <v>0</v>
      </c>
      <c r="O85" s="36">
        <v>46204</v>
      </c>
    </row>
    <row r="86" spans="1:15" x14ac:dyDescent="0.3">
      <c r="A86" s="17" t="s">
        <v>11</v>
      </c>
      <c r="B86" s="29" t="s">
        <v>20</v>
      </c>
      <c r="C86" s="19" t="s">
        <v>83</v>
      </c>
      <c r="D86" s="17">
        <f>_xlfn.XLOOKUP(C86,META_VENDEDOR!$C:$C,META_VENDEDOR!$D:$D)</f>
        <v>502</v>
      </c>
      <c r="E86" s="27">
        <f>_xlfn.XLOOKUP(C86,'[1]METAS JULHO'!$A:$A,'[1]METAS JULHO'!$F:$F)</f>
        <v>0</v>
      </c>
      <c r="F86" s="37">
        <f>_xlfn.XLOOKUP(C86,'[1]METAS JULHO'!$A:$A,'[1]METAS JULHO'!$D:$D)</f>
        <v>50000</v>
      </c>
      <c r="G86" s="27">
        <f>_xlfn.XLOOKUP(C86,'[1]METAS JULHO'!$A:$A,'[1]METAS JULHO'!$X:$X)</f>
        <v>0</v>
      </c>
      <c r="H86" s="26">
        <f>_xlfn.XLOOKUP(C86,'[1]METAS JULHO'!$A:$A,'[1]METAS JULHO'!$V:$V)</f>
        <v>30</v>
      </c>
      <c r="I86" s="27">
        <f>_xlfn.XLOOKUP(C86,'[1]METAS JULHO'!$A:$A,'[1]METAS JULHO'!$O:$O)</f>
        <v>0</v>
      </c>
      <c r="J86" s="39">
        <f>_xlfn.XLOOKUP(C86,'[1]METAS JULHO'!$A:$A,'[1]METAS JULHO'!$M:$M)</f>
        <v>30000</v>
      </c>
      <c r="K86" s="27">
        <f>_xlfn.XLOOKUP(C86,'[1]METAS JULHO'!$A:$A,'[1]METAS JULHO'!$Q:$Q)</f>
        <v>0</v>
      </c>
      <c r="L86" s="39">
        <f>_xlfn.XLOOKUP(C86,'[1]METAS JULHO'!$A:$A,'[1]METAS JULHO'!$P:$P)</f>
        <v>3000</v>
      </c>
      <c r="M86" s="27">
        <f>_xlfn.XLOOKUP(C86,'[1]METAS JULHO'!$A:$A,'[1]METAS JULHO'!$L:$L)</f>
        <v>0</v>
      </c>
      <c r="N86" s="37">
        <f>_xlfn.XLOOKUP(C86,'[1]METAS JULHO'!$A:$A,'[1]METAS JULHO'!$J:$J)</f>
        <v>2000</v>
      </c>
      <c r="O86" s="36">
        <v>46204</v>
      </c>
    </row>
    <row r="87" spans="1:15" x14ac:dyDescent="0.3">
      <c r="A87" s="17" t="s">
        <v>11</v>
      </c>
      <c r="B87" s="29" t="s">
        <v>20</v>
      </c>
      <c r="C87" s="19" t="s">
        <v>85</v>
      </c>
      <c r="D87" s="17">
        <f>_xlfn.XLOOKUP(C87,META_VENDEDOR!$C:$C,META_VENDEDOR!$D:$D)</f>
        <v>501</v>
      </c>
      <c r="E87" s="27">
        <f>_xlfn.XLOOKUP(C87,'[1]METAS JULHO'!$A:$A,'[1]METAS JULHO'!$F:$F)</f>
        <v>0</v>
      </c>
      <c r="F87" s="37">
        <f>_xlfn.XLOOKUP(C87,'[1]METAS JULHO'!$A:$A,'[1]METAS JULHO'!$D:$D)</f>
        <v>30000</v>
      </c>
      <c r="G87" s="27">
        <f>_xlfn.XLOOKUP(C87,'[1]METAS JULHO'!$A:$A,'[1]METAS JULHO'!$X:$X)</f>
        <v>0</v>
      </c>
      <c r="H87" s="26">
        <f>_xlfn.XLOOKUP(C87,'[1]METAS JULHO'!$A:$A,'[1]METAS JULHO'!$V:$V)</f>
        <v>20</v>
      </c>
      <c r="I87" s="27">
        <f>_xlfn.XLOOKUP(C87,'[1]METAS JULHO'!$A:$A,'[1]METAS JULHO'!$O:$O)</f>
        <v>0</v>
      </c>
      <c r="J87" s="39">
        <f>_xlfn.XLOOKUP(C87,'[1]METAS JULHO'!$A:$A,'[1]METAS JULHO'!$M:$M)</f>
        <v>20000</v>
      </c>
      <c r="K87" s="27">
        <f>_xlfn.XLOOKUP(C87,'[1]METAS JULHO'!$A:$A,'[1]METAS JULHO'!$Q:$Q)</f>
        <v>0</v>
      </c>
      <c r="L87" s="39">
        <f>_xlfn.XLOOKUP(C87,'[1]METAS JULHO'!$A:$A,'[1]METAS JULHO'!$P:$P)</f>
        <v>1000</v>
      </c>
      <c r="M87" s="27">
        <f>_xlfn.XLOOKUP(C87,'[1]METAS JULHO'!$A:$A,'[1]METAS JULHO'!$L:$L)</f>
        <v>0</v>
      </c>
      <c r="N87" s="37">
        <f>_xlfn.XLOOKUP(C87,'[1]METAS JULHO'!$A:$A,'[1]METAS JULHO'!$J:$J)</f>
        <v>1000</v>
      </c>
      <c r="O87" s="36">
        <v>46204</v>
      </c>
    </row>
    <row r="88" spans="1:15" x14ac:dyDescent="0.3">
      <c r="A88" s="17" t="s">
        <v>11</v>
      </c>
      <c r="B88" s="29" t="s">
        <v>20</v>
      </c>
      <c r="C88" s="19" t="s">
        <v>86</v>
      </c>
      <c r="D88" s="17">
        <f>_xlfn.XLOOKUP(C88,META_VENDEDOR!$C:$C,META_VENDEDOR!$D:$D)</f>
        <v>501</v>
      </c>
      <c r="E88" s="27">
        <f>_xlfn.XLOOKUP(C88,'[1]METAS JULHO'!$A:$A,'[1]METAS JULHO'!$F:$F)</f>
        <v>0</v>
      </c>
      <c r="F88" s="37">
        <f>_xlfn.XLOOKUP(C88,'[1]METAS JULHO'!$A:$A,'[1]METAS JULHO'!$D:$D)</f>
        <v>30000</v>
      </c>
      <c r="G88" s="27">
        <f>_xlfn.XLOOKUP(C88,'[1]METAS JULHO'!$A:$A,'[1]METAS JULHO'!$X:$X)</f>
        <v>0</v>
      </c>
      <c r="H88" s="26">
        <f>_xlfn.XLOOKUP(C88,'[1]METAS JULHO'!$A:$A,'[1]METAS JULHO'!$V:$V)</f>
        <v>20</v>
      </c>
      <c r="I88" s="27">
        <f>_xlfn.XLOOKUP(C88,'[1]METAS JULHO'!$A:$A,'[1]METAS JULHO'!$O:$O)</f>
        <v>0</v>
      </c>
      <c r="J88" s="39">
        <f>_xlfn.XLOOKUP(C88,'[1]METAS JULHO'!$A:$A,'[1]METAS JULHO'!$M:$M)</f>
        <v>20000</v>
      </c>
      <c r="K88" s="27">
        <f>_xlfn.XLOOKUP(C88,'[1]METAS JULHO'!$A:$A,'[1]METAS JULHO'!$Q:$Q)</f>
        <v>0</v>
      </c>
      <c r="L88" s="39">
        <f>_xlfn.XLOOKUP(C88,'[1]METAS JULHO'!$A:$A,'[1]METAS JULHO'!$P:$P)</f>
        <v>3000</v>
      </c>
      <c r="M88" s="27">
        <f>_xlfn.XLOOKUP(C88,'[1]METAS JULHO'!$A:$A,'[1]METAS JULHO'!$L:$L)</f>
        <v>0</v>
      </c>
      <c r="N88" s="37">
        <f>_xlfn.XLOOKUP(C88,'[1]METAS JULHO'!$A:$A,'[1]METAS JULHO'!$J:$J)</f>
        <v>1000</v>
      </c>
      <c r="O88" s="36">
        <v>46204</v>
      </c>
    </row>
    <row r="89" spans="1:15" x14ac:dyDescent="0.3">
      <c r="A89" s="17" t="s">
        <v>11</v>
      </c>
      <c r="B89" s="29" t="s">
        <v>20</v>
      </c>
      <c r="C89" s="19" t="s">
        <v>41</v>
      </c>
      <c r="D89" s="17">
        <f>_xlfn.XLOOKUP(C89,META_VENDEDOR!$C:$C,META_VENDEDOR!$D:$D)</f>
        <v>478</v>
      </c>
      <c r="E89" s="27">
        <f>_xlfn.XLOOKUP(C89,'[1]METAS JULHO'!$A:$A,'[1]METAS JULHO'!$F:$F)</f>
        <v>0</v>
      </c>
      <c r="F89" s="37">
        <f>_xlfn.XLOOKUP(C89,'[1]METAS JULHO'!$A:$A,'[1]METAS JULHO'!$D:$D)</f>
        <v>10000</v>
      </c>
      <c r="G89" s="27">
        <f>_xlfn.XLOOKUP(C89,'[1]METAS JULHO'!$A:$A,'[1]METAS JULHO'!$X:$X)</f>
        <v>0</v>
      </c>
      <c r="H89" s="26">
        <f>_xlfn.XLOOKUP(C89,'[1]METAS JULHO'!$A:$A,'[1]METAS JULHO'!$V:$V)</f>
        <v>2</v>
      </c>
      <c r="I89" s="27">
        <f>_xlfn.XLOOKUP(C89,'[1]METAS JULHO'!$A:$A,'[1]METAS JULHO'!$O:$O)</f>
        <v>0</v>
      </c>
      <c r="J89" s="39">
        <f>_xlfn.XLOOKUP(C89,'[1]METAS JULHO'!$A:$A,'[1]METAS JULHO'!$M:$M)</f>
        <v>5000</v>
      </c>
      <c r="K89" s="27">
        <f>_xlfn.XLOOKUP(C89,'[1]METAS JULHO'!$A:$A,'[1]METAS JULHO'!$Q:$Q)</f>
        <v>0</v>
      </c>
      <c r="L89" s="39">
        <f>_xlfn.XLOOKUP(C89,'[1]METAS JULHO'!$A:$A,'[1]METAS JULHO'!$P:$P)</f>
        <v>0</v>
      </c>
      <c r="M89" s="27">
        <f>_xlfn.XLOOKUP(C89,'[1]METAS JULHO'!$A:$A,'[1]METAS JULHO'!$L:$L)</f>
        <v>0</v>
      </c>
      <c r="N89" s="37">
        <f>_xlfn.XLOOKUP(C89,'[1]METAS JULHO'!$A:$A,'[1]METAS JULHO'!$J:$J)</f>
        <v>0</v>
      </c>
      <c r="O89" s="36">
        <v>46204</v>
      </c>
    </row>
    <row r="90" spans="1:15" x14ac:dyDescent="0.3">
      <c r="A90" s="17" t="s">
        <v>11</v>
      </c>
      <c r="B90" s="29" t="s">
        <v>20</v>
      </c>
      <c r="C90" s="19" t="s">
        <v>39</v>
      </c>
      <c r="D90" s="17">
        <f>_xlfn.XLOOKUP(C90,META_VENDEDOR!$C:$C,META_VENDEDOR!$D:$D)</f>
        <v>464</v>
      </c>
      <c r="E90" s="27">
        <f>_xlfn.XLOOKUP(C90,'[1]METAS JULHO'!$A:$A,'[1]METAS JULHO'!$F:$F)</f>
        <v>0</v>
      </c>
      <c r="F90" s="37">
        <f>_xlfn.XLOOKUP(C90,'[1]METAS JULHO'!$A:$A,'[1]METAS JULHO'!$D:$D)</f>
        <v>10000</v>
      </c>
      <c r="G90" s="27">
        <f>_xlfn.XLOOKUP(C90,'[1]METAS JULHO'!$A:$A,'[1]METAS JULHO'!$X:$X)</f>
        <v>0</v>
      </c>
      <c r="H90" s="26">
        <f>_xlfn.XLOOKUP(C90,'[1]METAS JULHO'!$A:$A,'[1]METAS JULHO'!$V:$V)</f>
        <v>10</v>
      </c>
      <c r="I90" s="27">
        <f>_xlfn.XLOOKUP(C90,'[1]METAS JULHO'!$A:$A,'[1]METAS JULHO'!$O:$O)</f>
        <v>0</v>
      </c>
      <c r="J90" s="39">
        <f>_xlfn.XLOOKUP(C90,'[1]METAS JULHO'!$A:$A,'[1]METAS JULHO'!$M:$M)</f>
        <v>5000</v>
      </c>
      <c r="K90" s="27">
        <f>_xlfn.XLOOKUP(C90,'[1]METAS JULHO'!$A:$A,'[1]METAS JULHO'!$Q:$Q)</f>
        <v>0</v>
      </c>
      <c r="L90" s="39">
        <f>_xlfn.XLOOKUP(C90,'[1]METAS JULHO'!$A:$A,'[1]METAS JULHO'!$P:$P)</f>
        <v>1000</v>
      </c>
      <c r="M90" s="27">
        <f>_xlfn.XLOOKUP(C90,'[1]METAS JULHO'!$A:$A,'[1]METAS JULHO'!$L:$L)</f>
        <v>0</v>
      </c>
      <c r="N90" s="37">
        <f>_xlfn.XLOOKUP(C90,'[1]METAS JULHO'!$A:$A,'[1]METAS JULHO'!$J:$J)</f>
        <v>500</v>
      </c>
      <c r="O90" s="36">
        <v>46204</v>
      </c>
    </row>
    <row r="91" spans="1:15" x14ac:dyDescent="0.3">
      <c r="A91" s="17" t="s">
        <v>11</v>
      </c>
      <c r="B91" s="29" t="s">
        <v>20</v>
      </c>
      <c r="C91" s="19" t="s">
        <v>87</v>
      </c>
      <c r="D91" s="17">
        <f>_xlfn.XLOOKUP(C91,META_VENDEDOR!$C:$C,META_VENDEDOR!$D:$D)</f>
        <v>500</v>
      </c>
      <c r="E91" s="27">
        <f>_xlfn.XLOOKUP(C91,'[1]METAS JULHO'!$A:$A,'[1]METAS JULHO'!$F:$F)</f>
        <v>0</v>
      </c>
      <c r="F91" s="37">
        <f>_xlfn.XLOOKUP(C91,'[1]METAS JULHO'!$A:$A,'[1]METAS JULHO'!$D:$D)</f>
        <v>20000</v>
      </c>
      <c r="G91" s="27">
        <f>_xlfn.XLOOKUP(C91,'[1]METAS JULHO'!$A:$A,'[1]METAS JULHO'!$X:$X)</f>
        <v>0</v>
      </c>
      <c r="H91" s="26">
        <f>_xlfn.XLOOKUP(C91,'[1]METAS JULHO'!$A:$A,'[1]METAS JULHO'!$V:$V)</f>
        <v>10</v>
      </c>
      <c r="I91" s="27">
        <f>_xlfn.XLOOKUP(C91,'[1]METAS JULHO'!$A:$A,'[1]METAS JULHO'!$O:$O)</f>
        <v>0</v>
      </c>
      <c r="J91" s="39">
        <f>_xlfn.XLOOKUP(C91,'[1]METAS JULHO'!$A:$A,'[1]METAS JULHO'!$M:$M)</f>
        <v>5000</v>
      </c>
      <c r="K91" s="27">
        <f>_xlfn.XLOOKUP(C91,'[1]METAS JULHO'!$A:$A,'[1]METAS JULHO'!$Q:$Q)</f>
        <v>0</v>
      </c>
      <c r="L91" s="39">
        <f>_xlfn.XLOOKUP(C91,'[1]METAS JULHO'!$A:$A,'[1]METAS JULHO'!$P:$P)</f>
        <v>5000</v>
      </c>
      <c r="M91" s="27">
        <f>_xlfn.XLOOKUP(C91,'[1]METAS JULHO'!$A:$A,'[1]METAS JULHO'!$L:$L)</f>
        <v>0</v>
      </c>
      <c r="N91" s="37">
        <f>_xlfn.XLOOKUP(C91,'[1]METAS JULHO'!$A:$A,'[1]METAS JULHO'!$J:$J)</f>
        <v>1000</v>
      </c>
      <c r="O91" s="36">
        <v>46204</v>
      </c>
    </row>
    <row r="92" spans="1:15" x14ac:dyDescent="0.3">
      <c r="A92" s="17" t="s">
        <v>12</v>
      </c>
      <c r="B92" s="29" t="s">
        <v>20</v>
      </c>
      <c r="C92" s="19" t="s">
        <v>70</v>
      </c>
      <c r="D92" s="17">
        <f>_xlfn.XLOOKUP(C92,META_VENDEDOR!$C:$C,META_VENDEDOR!$D:$D)</f>
        <v>488</v>
      </c>
      <c r="E92" s="27">
        <f>_xlfn.XLOOKUP(C92,'[1]METAS JULHO'!$A:$A,'[1]METAS JULHO'!$F:$F)</f>
        <v>0</v>
      </c>
      <c r="F92" s="37">
        <f>_xlfn.XLOOKUP(C92,'[1]METAS JULHO'!$A:$A,'[1]METAS JULHO'!$D:$D)</f>
        <v>50000</v>
      </c>
      <c r="G92" s="27">
        <f>_xlfn.XLOOKUP(C92,'[1]METAS JULHO'!$A:$A,'[1]METAS JULHO'!$X:$X)</f>
        <v>0</v>
      </c>
      <c r="H92" s="26">
        <f>_xlfn.XLOOKUP(C92,'[1]METAS JULHO'!$A:$A,'[1]METAS JULHO'!$V:$V)</f>
        <v>15</v>
      </c>
      <c r="I92" s="27">
        <f>_xlfn.XLOOKUP(C92,'[1]METAS JULHO'!$A:$A,'[1]METAS JULHO'!$O:$O)</f>
        <v>0</v>
      </c>
      <c r="J92" s="39">
        <f>_xlfn.XLOOKUP(C92,'[1]METAS JULHO'!$A:$A,'[1]METAS JULHO'!$M:$M)</f>
        <v>5000</v>
      </c>
      <c r="K92" s="27">
        <f>_xlfn.XLOOKUP(C92,'[1]METAS JULHO'!$A:$A,'[1]METAS JULHO'!$Q:$Q)</f>
        <v>0</v>
      </c>
      <c r="L92" s="39">
        <f>_xlfn.XLOOKUP(C92,'[1]METAS JULHO'!$A:$A,'[1]METAS JULHO'!$P:$P)</f>
        <v>0</v>
      </c>
      <c r="M92" s="27">
        <f>_xlfn.XLOOKUP(C92,'[1]METAS JULHO'!$A:$A,'[1]METAS JULHO'!$L:$L)</f>
        <v>0</v>
      </c>
      <c r="N92" s="37">
        <f>_xlfn.XLOOKUP(C92,'[1]METAS JULHO'!$A:$A,'[1]METAS JULHO'!$J:$J)</f>
        <v>1000</v>
      </c>
      <c r="O92" s="36">
        <v>46204</v>
      </c>
    </row>
    <row r="93" spans="1:15" x14ac:dyDescent="0.3">
      <c r="A93" s="17" t="s">
        <v>12</v>
      </c>
      <c r="B93" s="29" t="s">
        <v>20</v>
      </c>
      <c r="C93" s="19" t="s">
        <v>81</v>
      </c>
      <c r="D93" s="17">
        <f>_xlfn.XLOOKUP(C93,META_VENDEDOR!$C:$C,META_VENDEDOR!$D:$D)</f>
        <v>498</v>
      </c>
      <c r="E93" s="27">
        <f>_xlfn.XLOOKUP(C93,'[1]METAS JULHO'!$A:$A,'[1]METAS JULHO'!$F:$F)</f>
        <v>0</v>
      </c>
      <c r="F93" s="37">
        <f>_xlfn.XLOOKUP(C93,'[1]METAS JULHO'!$A:$A,'[1]METAS JULHO'!$D:$D)</f>
        <v>50000</v>
      </c>
      <c r="G93" s="27">
        <f>_xlfn.XLOOKUP(C93,'[1]METAS JULHO'!$A:$A,'[1]METAS JULHO'!$X:$X)</f>
        <v>0</v>
      </c>
      <c r="H93" s="26">
        <f>_xlfn.XLOOKUP(C93,'[1]METAS JULHO'!$A:$A,'[1]METAS JULHO'!$V:$V)</f>
        <v>20</v>
      </c>
      <c r="I93" s="27">
        <f>_xlfn.XLOOKUP(C93,'[1]METAS JULHO'!$A:$A,'[1]METAS JULHO'!$O:$O)</f>
        <v>0</v>
      </c>
      <c r="J93" s="39">
        <f>_xlfn.XLOOKUP(C93,'[1]METAS JULHO'!$A:$A,'[1]METAS JULHO'!$M:$M)</f>
        <v>5000</v>
      </c>
      <c r="K93" s="27">
        <f>_xlfn.XLOOKUP(C93,'[1]METAS JULHO'!$A:$A,'[1]METAS JULHO'!$Q:$Q)</f>
        <v>0</v>
      </c>
      <c r="L93" s="39">
        <f>_xlfn.XLOOKUP(C93,'[1]METAS JULHO'!$A:$A,'[1]METAS JULHO'!$P:$P)</f>
        <v>2000</v>
      </c>
      <c r="M93" s="27">
        <f>_xlfn.XLOOKUP(C93,'[1]METAS JULHO'!$A:$A,'[1]METAS JULHO'!$L:$L)</f>
        <v>0</v>
      </c>
      <c r="N93" s="37">
        <f>_xlfn.XLOOKUP(C93,'[1]METAS JULHO'!$A:$A,'[1]METAS JULHO'!$J:$J)</f>
        <v>1000</v>
      </c>
      <c r="O93" s="36">
        <v>46204</v>
      </c>
    </row>
    <row r="94" spans="1:15" x14ac:dyDescent="0.3">
      <c r="A94" s="17" t="s">
        <v>12</v>
      </c>
      <c r="B94" s="29" t="s">
        <v>20</v>
      </c>
      <c r="C94" s="19" t="s">
        <v>65</v>
      </c>
      <c r="D94" s="17">
        <f>_xlfn.XLOOKUP(C94,META_VENDEDOR!$C:$C,META_VENDEDOR!$D:$D)</f>
        <v>490</v>
      </c>
      <c r="E94" s="27">
        <f>_xlfn.XLOOKUP(C94,'[1]METAS JULHO'!$A:$A,'[1]METAS JULHO'!$F:$F)</f>
        <v>0</v>
      </c>
      <c r="F94" s="37">
        <f>_xlfn.XLOOKUP(C94,'[1]METAS JULHO'!$A:$A,'[1]METAS JULHO'!$D:$D)</f>
        <v>50000</v>
      </c>
      <c r="G94" s="27">
        <f>_xlfn.XLOOKUP(C94,'[1]METAS JULHO'!$A:$A,'[1]METAS JULHO'!$X:$X)</f>
        <v>0</v>
      </c>
      <c r="H94" s="26">
        <f>_xlfn.XLOOKUP(C94,'[1]METAS JULHO'!$A:$A,'[1]METAS JULHO'!$V:$V)</f>
        <v>20</v>
      </c>
      <c r="I94" s="27">
        <f>_xlfn.XLOOKUP(C94,'[1]METAS JULHO'!$A:$A,'[1]METAS JULHO'!$O:$O)</f>
        <v>0</v>
      </c>
      <c r="J94" s="39">
        <f>_xlfn.XLOOKUP(C94,'[1]METAS JULHO'!$A:$A,'[1]METAS JULHO'!$M:$M)</f>
        <v>5000</v>
      </c>
      <c r="K94" s="27">
        <f>_xlfn.XLOOKUP(C94,'[1]METAS JULHO'!$A:$A,'[1]METAS JULHO'!$Q:$Q)</f>
        <v>0</v>
      </c>
      <c r="L94" s="39">
        <f>_xlfn.XLOOKUP(C94,'[1]METAS JULHO'!$A:$A,'[1]METAS JULHO'!$P:$P)</f>
        <v>5000</v>
      </c>
      <c r="M94" s="27">
        <f>_xlfn.XLOOKUP(C94,'[1]METAS JULHO'!$A:$A,'[1]METAS JULHO'!$L:$L)</f>
        <v>0</v>
      </c>
      <c r="N94" s="37">
        <f>_xlfn.XLOOKUP(C94,'[1]METAS JULHO'!$A:$A,'[1]METAS JULHO'!$J:$J)</f>
        <v>0</v>
      </c>
      <c r="O94" s="36">
        <v>46204</v>
      </c>
    </row>
    <row r="95" spans="1:15" x14ac:dyDescent="0.3">
      <c r="A95" s="17" t="s">
        <v>12</v>
      </c>
      <c r="B95" s="29" t="s">
        <v>20</v>
      </c>
      <c r="C95" s="19" t="s">
        <v>42</v>
      </c>
      <c r="D95" s="17">
        <f>_xlfn.XLOOKUP(C95,META_VENDEDOR!$C:$C,META_VENDEDOR!$D:$D)</f>
        <v>462</v>
      </c>
      <c r="E95" s="27">
        <f>_xlfn.XLOOKUP(C95,'[1]METAS JULHO'!$A:$A,'[1]METAS JULHO'!$F:$F)</f>
        <v>0</v>
      </c>
      <c r="F95" s="37">
        <f>_xlfn.XLOOKUP(C95,'[1]METAS JULHO'!$A:$A,'[1]METAS JULHO'!$D:$D)</f>
        <v>160000</v>
      </c>
      <c r="G95" s="27">
        <f>_xlfn.XLOOKUP(C95,'[1]METAS JULHO'!$A:$A,'[1]METAS JULHO'!$X:$X)</f>
        <v>0</v>
      </c>
      <c r="H95" s="26">
        <f>_xlfn.XLOOKUP(C95,'[1]METAS JULHO'!$A:$A,'[1]METAS JULHO'!$V:$V)</f>
        <v>1</v>
      </c>
      <c r="I95" s="27">
        <f>_xlfn.XLOOKUP(C95,'[1]METAS JULHO'!$A:$A,'[1]METAS JULHO'!$O:$O)</f>
        <v>0</v>
      </c>
      <c r="J95" s="39">
        <f>_xlfn.XLOOKUP(C95,'[1]METAS JULHO'!$A:$A,'[1]METAS JULHO'!$M:$M)</f>
        <v>100000</v>
      </c>
      <c r="K95" s="27">
        <f>_xlfn.XLOOKUP(C95,'[1]METAS JULHO'!$A:$A,'[1]METAS JULHO'!$Q:$Q)</f>
        <v>0</v>
      </c>
      <c r="L95" s="39">
        <f>_xlfn.XLOOKUP(C95,'[1]METAS JULHO'!$A:$A,'[1]METAS JULHO'!$P:$P)</f>
        <v>0</v>
      </c>
      <c r="M95" s="27">
        <f>_xlfn.XLOOKUP(C95,'[1]METAS JULHO'!$A:$A,'[1]METAS JULHO'!$L:$L)</f>
        <v>0</v>
      </c>
      <c r="N95" s="37">
        <f>_xlfn.XLOOKUP(C95,'[1]METAS JULHO'!$A:$A,'[1]METAS JULHO'!$J:$J)</f>
        <v>0</v>
      </c>
      <c r="O95" s="36">
        <v>46204</v>
      </c>
    </row>
    <row r="96" spans="1:15" x14ac:dyDescent="0.3">
      <c r="A96" s="17" t="s">
        <v>12</v>
      </c>
      <c r="B96" s="29" t="s">
        <v>20</v>
      </c>
      <c r="C96" s="19" t="s">
        <v>67</v>
      </c>
      <c r="D96" s="17">
        <f>_xlfn.XLOOKUP(C96,META_VENDEDOR!$C:$C,META_VENDEDOR!$D:$D)</f>
        <v>489</v>
      </c>
      <c r="E96" s="27">
        <f>_xlfn.XLOOKUP(C96,'[1]METAS JULHO'!$A:$A,'[1]METAS JULHO'!$F:$F)</f>
        <v>0</v>
      </c>
      <c r="F96" s="37">
        <f>_xlfn.XLOOKUP(C96,'[1]METAS JULHO'!$A:$A,'[1]METAS JULHO'!$D:$D)</f>
        <v>50000</v>
      </c>
      <c r="G96" s="27">
        <f>_xlfn.XLOOKUP(C96,'[1]METAS JULHO'!$A:$A,'[1]METAS JULHO'!$X:$X)</f>
        <v>0</v>
      </c>
      <c r="H96" s="26">
        <f>_xlfn.XLOOKUP(C96,'[1]METAS JULHO'!$A:$A,'[1]METAS JULHO'!$V:$V)</f>
        <v>20</v>
      </c>
      <c r="I96" s="27">
        <f>_xlfn.XLOOKUP(C96,'[1]METAS JULHO'!$A:$A,'[1]METAS JULHO'!$O:$O)</f>
        <v>0</v>
      </c>
      <c r="J96" s="39">
        <f>_xlfn.XLOOKUP(C96,'[1]METAS JULHO'!$A:$A,'[1]METAS JULHO'!$M:$M)</f>
        <v>10000</v>
      </c>
      <c r="K96" s="27">
        <f>_xlfn.XLOOKUP(C96,'[1]METAS JULHO'!$A:$A,'[1]METAS JULHO'!$Q:$Q)</f>
        <v>0</v>
      </c>
      <c r="L96" s="39">
        <f>_xlfn.XLOOKUP(C96,'[1]METAS JULHO'!$A:$A,'[1]METAS JULHO'!$P:$P)</f>
        <v>3000</v>
      </c>
      <c r="M96" s="27">
        <f>_xlfn.XLOOKUP(C96,'[1]METAS JULHO'!$A:$A,'[1]METAS JULHO'!$L:$L)</f>
        <v>0</v>
      </c>
      <c r="N96" s="37">
        <f>_xlfn.XLOOKUP(C96,'[1]METAS JULHO'!$A:$A,'[1]METAS JULHO'!$J:$J)</f>
        <v>1000</v>
      </c>
      <c r="O96" s="36">
        <v>46204</v>
      </c>
    </row>
    <row r="97" spans="1:15" x14ac:dyDescent="0.3">
      <c r="A97" s="17" t="s">
        <v>12</v>
      </c>
      <c r="B97" s="29" t="s">
        <v>20</v>
      </c>
      <c r="C97" s="19" t="s">
        <v>44</v>
      </c>
      <c r="D97" s="17">
        <f>_xlfn.XLOOKUP(C97,META_VENDEDOR!$C:$C,META_VENDEDOR!$D:$D)</f>
        <v>474</v>
      </c>
      <c r="E97" s="27">
        <f>_xlfn.XLOOKUP(C97,'[1]METAS JULHO'!$A:$A,'[1]METAS JULHO'!$F:$F)</f>
        <v>0</v>
      </c>
      <c r="F97" s="37">
        <f>_xlfn.XLOOKUP(C97,'[1]METAS JULHO'!$A:$A,'[1]METAS JULHO'!$D:$D)</f>
        <v>50000</v>
      </c>
      <c r="G97" s="27">
        <f>_xlfn.XLOOKUP(C97,'[1]METAS JULHO'!$A:$A,'[1]METAS JULHO'!$X:$X)</f>
        <v>0</v>
      </c>
      <c r="H97" s="26">
        <f>_xlfn.XLOOKUP(C97,'[1]METAS JULHO'!$A:$A,'[1]METAS JULHO'!$V:$V)</f>
        <v>20</v>
      </c>
      <c r="I97" s="27">
        <f>_xlfn.XLOOKUP(C97,'[1]METAS JULHO'!$A:$A,'[1]METAS JULHO'!$O:$O)</f>
        <v>0</v>
      </c>
      <c r="J97" s="39">
        <f>_xlfn.XLOOKUP(C97,'[1]METAS JULHO'!$A:$A,'[1]METAS JULHO'!$M:$M)</f>
        <v>5000</v>
      </c>
      <c r="K97" s="27">
        <f>_xlfn.XLOOKUP(C97,'[1]METAS JULHO'!$A:$A,'[1]METAS JULHO'!$Q:$Q)</f>
        <v>0</v>
      </c>
      <c r="L97" s="39">
        <f>_xlfn.XLOOKUP(C97,'[1]METAS JULHO'!$A:$A,'[1]METAS JULHO'!$P:$P)</f>
        <v>0</v>
      </c>
      <c r="M97" s="27">
        <f>_xlfn.XLOOKUP(C97,'[1]METAS JULHO'!$A:$A,'[1]METAS JULHO'!$L:$L)</f>
        <v>0</v>
      </c>
      <c r="N97" s="37">
        <f>_xlfn.XLOOKUP(C97,'[1]METAS JULHO'!$A:$A,'[1]METAS JULHO'!$J:$J)</f>
        <v>0</v>
      </c>
      <c r="O97" s="36">
        <v>46204</v>
      </c>
    </row>
    <row r="98" spans="1:15" x14ac:dyDescent="0.3">
      <c r="A98" s="17" t="s">
        <v>12</v>
      </c>
      <c r="B98" s="29" t="s">
        <v>20</v>
      </c>
      <c r="C98" s="19" t="s">
        <v>68</v>
      </c>
      <c r="D98" s="17">
        <f>_xlfn.XLOOKUP(C98,META_VENDEDOR!$C:$C,META_VENDEDOR!$D:$D)</f>
        <v>491</v>
      </c>
      <c r="E98" s="27">
        <f>_xlfn.XLOOKUP(C98,'[1]METAS JULHO'!$A:$A,'[1]METAS JULHO'!$F:$F)</f>
        <v>0</v>
      </c>
      <c r="F98" s="37">
        <f>_xlfn.XLOOKUP(C98,'[1]METAS JULHO'!$A:$A,'[1]METAS JULHO'!$D:$D)</f>
        <v>50000</v>
      </c>
      <c r="G98" s="27">
        <f>_xlfn.XLOOKUP(C98,'[1]METAS JULHO'!$A:$A,'[1]METAS JULHO'!$X:$X)</f>
        <v>0</v>
      </c>
      <c r="H98" s="26">
        <f>_xlfn.XLOOKUP(C98,'[1]METAS JULHO'!$A:$A,'[1]METAS JULHO'!$V:$V)</f>
        <v>20</v>
      </c>
      <c r="I98" s="27">
        <f>_xlfn.XLOOKUP(C98,'[1]METAS JULHO'!$A:$A,'[1]METAS JULHO'!$O:$O)</f>
        <v>0</v>
      </c>
      <c r="J98" s="39">
        <f>_xlfn.XLOOKUP(C98,'[1]METAS JULHO'!$A:$A,'[1]METAS JULHO'!$M:$M)</f>
        <v>10000</v>
      </c>
      <c r="K98" s="27">
        <f>_xlfn.XLOOKUP(C98,'[1]METAS JULHO'!$A:$A,'[1]METAS JULHO'!$Q:$Q)</f>
        <v>0</v>
      </c>
      <c r="L98" s="39">
        <f>_xlfn.XLOOKUP(C98,'[1]METAS JULHO'!$A:$A,'[1]METAS JULHO'!$P:$P)</f>
        <v>5000</v>
      </c>
      <c r="M98" s="27">
        <f>_xlfn.XLOOKUP(C98,'[1]METAS JULHO'!$A:$A,'[1]METAS JULHO'!$L:$L)</f>
        <v>0</v>
      </c>
      <c r="N98" s="37">
        <f>_xlfn.XLOOKUP(C98,'[1]METAS JULHO'!$A:$A,'[1]METAS JULHO'!$J:$J)</f>
        <v>2000</v>
      </c>
      <c r="O98" s="36">
        <v>46204</v>
      </c>
    </row>
    <row r="99" spans="1:15" x14ac:dyDescent="0.3">
      <c r="A99" s="17" t="s">
        <v>12</v>
      </c>
      <c r="B99" s="29" t="s">
        <v>20</v>
      </c>
      <c r="C99" s="19" t="s">
        <v>45</v>
      </c>
      <c r="D99" s="17">
        <f>_xlfn.XLOOKUP(C99,META_VENDEDOR!$C:$C,META_VENDEDOR!$D:$D)</f>
        <v>475</v>
      </c>
      <c r="E99" s="27">
        <f>_xlfn.XLOOKUP(C99,'[1]METAS JULHO'!$A:$A,'[1]METAS JULHO'!$F:$F)</f>
        <v>0</v>
      </c>
      <c r="F99" s="37">
        <f>_xlfn.XLOOKUP(C99,'[1]METAS JULHO'!$A:$A,'[1]METAS JULHO'!$D:$D)</f>
        <v>10000</v>
      </c>
      <c r="G99" s="27">
        <f>_xlfn.XLOOKUP(C99,'[1]METAS JULHO'!$A:$A,'[1]METAS JULHO'!$X:$X)</f>
        <v>0</v>
      </c>
      <c r="H99" s="26">
        <f>_xlfn.XLOOKUP(C99,'[1]METAS JULHO'!$A:$A,'[1]METAS JULHO'!$V:$V)</f>
        <v>10</v>
      </c>
      <c r="I99" s="27">
        <f>_xlfn.XLOOKUP(C99,'[1]METAS JULHO'!$A:$A,'[1]METAS JULHO'!$O:$O)</f>
        <v>0</v>
      </c>
      <c r="J99" s="39">
        <f>_xlfn.XLOOKUP(C99,'[1]METAS JULHO'!$A:$A,'[1]METAS JULHO'!$M:$M)</f>
        <v>5000</v>
      </c>
      <c r="K99" s="27">
        <f>_xlfn.XLOOKUP(C99,'[1]METAS JULHO'!$A:$A,'[1]METAS JULHO'!$Q:$Q)</f>
        <v>0</v>
      </c>
      <c r="L99" s="39">
        <f>_xlfn.XLOOKUP(C99,'[1]METAS JULHO'!$A:$A,'[1]METAS JULHO'!$P:$P)</f>
        <v>0</v>
      </c>
      <c r="M99" s="27">
        <f>_xlfn.XLOOKUP(C99,'[1]METAS JULHO'!$A:$A,'[1]METAS JULHO'!$L:$L)</f>
        <v>0</v>
      </c>
      <c r="N99" s="37">
        <f>_xlfn.XLOOKUP(C99,'[1]METAS JULHO'!$A:$A,'[1]METAS JULHO'!$J:$J)</f>
        <v>1000</v>
      </c>
      <c r="O99" s="36">
        <v>46204</v>
      </c>
    </row>
    <row r="100" spans="1:15" x14ac:dyDescent="0.3">
      <c r="A100" s="17" t="s">
        <v>12</v>
      </c>
      <c r="B100" s="29" t="s">
        <v>20</v>
      </c>
      <c r="C100" s="19" t="s">
        <v>47</v>
      </c>
      <c r="D100" s="17">
        <f>_xlfn.XLOOKUP(C100,META_VENDEDOR!$C:$C,META_VENDEDOR!$D:$D)</f>
        <v>477</v>
      </c>
      <c r="E100" s="27">
        <f>_xlfn.XLOOKUP(C100,'[1]METAS JULHO'!$A:$A,'[1]METAS JULHO'!$F:$F)</f>
        <v>0</v>
      </c>
      <c r="F100" s="37">
        <f>_xlfn.XLOOKUP(C100,'[1]METAS JULHO'!$A:$A,'[1]METAS JULHO'!$D:$D)</f>
        <v>30000</v>
      </c>
      <c r="G100" s="27">
        <f>_xlfn.XLOOKUP(C100,'[1]METAS JULHO'!$A:$A,'[1]METAS JULHO'!$X:$X)</f>
        <v>0</v>
      </c>
      <c r="H100" s="26">
        <f>_xlfn.XLOOKUP(C100,'[1]METAS JULHO'!$A:$A,'[1]METAS JULHO'!$V:$V)</f>
        <v>20</v>
      </c>
      <c r="I100" s="27">
        <f>_xlfn.XLOOKUP(C100,'[1]METAS JULHO'!$A:$A,'[1]METAS JULHO'!$O:$O)</f>
        <v>0</v>
      </c>
      <c r="J100" s="39">
        <f>_xlfn.XLOOKUP(C100,'[1]METAS JULHO'!$A:$A,'[1]METAS JULHO'!$M:$M)</f>
        <v>10000</v>
      </c>
      <c r="K100" s="27">
        <f>_xlfn.XLOOKUP(C100,'[1]METAS JULHO'!$A:$A,'[1]METAS JULHO'!$Q:$Q)</f>
        <v>0</v>
      </c>
      <c r="L100" s="39">
        <f>_xlfn.XLOOKUP(C100,'[1]METAS JULHO'!$A:$A,'[1]METAS JULHO'!$P:$P)</f>
        <v>5000</v>
      </c>
      <c r="M100" s="27">
        <f>_xlfn.XLOOKUP(C100,'[1]METAS JULHO'!$A:$A,'[1]METAS JULHO'!$L:$L)</f>
        <v>0</v>
      </c>
      <c r="N100" s="37">
        <f>_xlfn.XLOOKUP(C100,'[1]METAS JULHO'!$A:$A,'[1]METAS JULHO'!$J:$J)</f>
        <v>1000</v>
      </c>
      <c r="O100" s="36">
        <v>46204</v>
      </c>
    </row>
    <row r="101" spans="1:15" x14ac:dyDescent="0.3">
      <c r="A101" s="17" t="s">
        <v>12</v>
      </c>
      <c r="B101" s="29" t="s">
        <v>20</v>
      </c>
      <c r="C101" s="19" t="s">
        <v>69</v>
      </c>
      <c r="D101" s="17">
        <f>_xlfn.XLOOKUP(C101,META_VENDEDOR!$C:$C,META_VENDEDOR!$D:$D)</f>
        <v>487</v>
      </c>
      <c r="E101" s="27">
        <f>_xlfn.XLOOKUP(C101,'[1]METAS JULHO'!$A:$A,'[1]METAS JULHO'!$F:$F)</f>
        <v>0</v>
      </c>
      <c r="F101" s="37">
        <f>_xlfn.XLOOKUP(C101,'[1]METAS JULHO'!$A:$A,'[1]METAS JULHO'!$D:$D)</f>
        <v>20000</v>
      </c>
      <c r="G101" s="27">
        <f>_xlfn.XLOOKUP(C101,'[1]METAS JULHO'!$A:$A,'[1]METAS JULHO'!$X:$X)</f>
        <v>0</v>
      </c>
      <c r="H101" s="26">
        <f>_xlfn.XLOOKUP(C101,'[1]METAS JULHO'!$A:$A,'[1]METAS JULHO'!$V:$V)</f>
        <v>20</v>
      </c>
      <c r="I101" s="27">
        <f>_xlfn.XLOOKUP(C101,'[1]METAS JULHO'!$A:$A,'[1]METAS JULHO'!$O:$O)</f>
        <v>0</v>
      </c>
      <c r="J101" s="39">
        <f>_xlfn.XLOOKUP(C101,'[1]METAS JULHO'!$A:$A,'[1]METAS JULHO'!$M:$M)</f>
        <v>10000</v>
      </c>
      <c r="K101" s="27">
        <f>_xlfn.XLOOKUP(C101,'[1]METAS JULHO'!$A:$A,'[1]METAS JULHO'!$Q:$Q)</f>
        <v>0</v>
      </c>
      <c r="L101" s="39">
        <f>_xlfn.XLOOKUP(C101,'[1]METAS JULHO'!$A:$A,'[1]METAS JULHO'!$P:$P)</f>
        <v>5000</v>
      </c>
      <c r="M101" s="27">
        <f>_xlfn.XLOOKUP(C101,'[1]METAS JULHO'!$A:$A,'[1]METAS JULHO'!$L:$L)</f>
        <v>0</v>
      </c>
      <c r="N101" s="37">
        <f>_xlfn.XLOOKUP(C101,'[1]METAS JULHO'!$A:$A,'[1]METAS JULHO'!$J:$J)</f>
        <v>0</v>
      </c>
      <c r="O101" s="36">
        <v>46204</v>
      </c>
    </row>
    <row r="102" spans="1:15" x14ac:dyDescent="0.3">
      <c r="A102" s="17" t="s">
        <v>12</v>
      </c>
      <c r="B102" s="29" t="s">
        <v>20</v>
      </c>
      <c r="C102" s="19" t="s">
        <v>43</v>
      </c>
      <c r="D102" s="17">
        <f>_xlfn.XLOOKUP(C102,META_VENDEDOR!$C:$C,META_VENDEDOR!$D:$D)</f>
        <v>473</v>
      </c>
      <c r="E102" s="27">
        <f>_xlfn.XLOOKUP(C102,'[1]METAS JULHO'!$A:$A,'[1]METAS JULHO'!$F:$F)</f>
        <v>0</v>
      </c>
      <c r="F102" s="37">
        <f>_xlfn.XLOOKUP(C102,'[1]METAS JULHO'!$A:$A,'[1]METAS JULHO'!$D:$D)</f>
        <v>30000</v>
      </c>
      <c r="G102" s="27">
        <f>_xlfn.XLOOKUP(C102,'[1]METAS JULHO'!$A:$A,'[1]METAS JULHO'!$X:$X)</f>
        <v>0</v>
      </c>
      <c r="H102" s="26">
        <f>_xlfn.XLOOKUP(C102,'[1]METAS JULHO'!$A:$A,'[1]METAS JULHO'!$V:$V)</f>
        <v>10</v>
      </c>
      <c r="I102" s="27">
        <f>_xlfn.XLOOKUP(C102,'[1]METAS JULHO'!$A:$A,'[1]METAS JULHO'!$O:$O)</f>
        <v>0</v>
      </c>
      <c r="J102" s="39">
        <f>_xlfn.XLOOKUP(C102,'[1]METAS JULHO'!$A:$A,'[1]METAS JULHO'!$M:$M)</f>
        <v>5000</v>
      </c>
      <c r="K102" s="27">
        <f>_xlfn.XLOOKUP(C102,'[1]METAS JULHO'!$A:$A,'[1]METAS JULHO'!$Q:$Q)</f>
        <v>0</v>
      </c>
      <c r="L102" s="39">
        <f>_xlfn.XLOOKUP(C102,'[1]METAS JULHO'!$A:$A,'[1]METAS JULHO'!$P:$P)</f>
        <v>2000</v>
      </c>
      <c r="M102" s="27">
        <f>_xlfn.XLOOKUP(C102,'[1]METAS JULHO'!$A:$A,'[1]METAS JULHO'!$L:$L)</f>
        <v>0</v>
      </c>
      <c r="N102" s="37">
        <f>_xlfn.XLOOKUP(C102,'[1]METAS JULHO'!$A:$A,'[1]METAS JULHO'!$J:$J)</f>
        <v>1000</v>
      </c>
      <c r="O102" s="36">
        <v>46204</v>
      </c>
    </row>
    <row r="103" spans="1:15" x14ac:dyDescent="0.3">
      <c r="A103" s="17" t="s">
        <v>12</v>
      </c>
      <c r="B103" s="29" t="s">
        <v>20</v>
      </c>
      <c r="C103" s="19" t="s">
        <v>46</v>
      </c>
      <c r="D103" s="17">
        <f>_xlfn.XLOOKUP(C103,META_VENDEDOR!$C:$C,META_VENDEDOR!$D:$D)</f>
        <v>476</v>
      </c>
      <c r="E103" s="27">
        <f>_xlfn.XLOOKUP(C103,'[1]METAS JULHO'!$A:$A,'[1]METAS JULHO'!$F:$F)</f>
        <v>0</v>
      </c>
      <c r="F103" s="37">
        <f>_xlfn.XLOOKUP(C103,'[1]METAS JULHO'!$A:$A,'[1]METAS JULHO'!$D:$D)</f>
        <v>130000</v>
      </c>
      <c r="G103" s="27">
        <f>_xlfn.XLOOKUP(C103,'[1]METAS JULHO'!$A:$A,'[1]METAS JULHO'!$X:$X)</f>
        <v>0</v>
      </c>
      <c r="H103" s="26">
        <f>_xlfn.XLOOKUP(C103,'[1]METAS JULHO'!$A:$A,'[1]METAS JULHO'!$V:$V)</f>
        <v>40</v>
      </c>
      <c r="I103" s="27">
        <f>_xlfn.XLOOKUP(C103,'[1]METAS JULHO'!$A:$A,'[1]METAS JULHO'!$O:$O)</f>
        <v>0</v>
      </c>
      <c r="J103" s="39">
        <f>_xlfn.XLOOKUP(C103,'[1]METAS JULHO'!$A:$A,'[1]METAS JULHO'!$M:$M)</f>
        <v>50000</v>
      </c>
      <c r="K103" s="27">
        <f>_xlfn.XLOOKUP(C103,'[1]METAS JULHO'!$A:$A,'[1]METAS JULHO'!$Q:$Q)</f>
        <v>0</v>
      </c>
      <c r="L103" s="39">
        <f>_xlfn.XLOOKUP(C103,'[1]METAS JULHO'!$A:$A,'[1]METAS JULHO'!$P:$P)</f>
        <v>10000</v>
      </c>
      <c r="M103" s="27">
        <f>_xlfn.XLOOKUP(C103,'[1]METAS JULHO'!$A:$A,'[1]METAS JULHO'!$L:$L)</f>
        <v>0</v>
      </c>
      <c r="N103" s="37">
        <f>_xlfn.XLOOKUP(C103,'[1]METAS JULHO'!$A:$A,'[1]METAS JULHO'!$J:$J)</f>
        <v>2000</v>
      </c>
      <c r="O103" s="36">
        <v>46204</v>
      </c>
    </row>
  </sheetData>
  <autoFilter ref="A1:O1" xr:uid="{00000000-0001-0000-0000-000000000000}"/>
  <conditionalFormatting sqref="C49:C55">
    <cfRule type="duplicateValues" dxfId="4" priority="8"/>
  </conditionalFormatting>
  <conditionalFormatting sqref="C56:C64">
    <cfRule type="duplicateValues" dxfId="2" priority="3"/>
  </conditionalFormatting>
  <conditionalFormatting sqref="C65:C71">
    <cfRule type="duplicateValues" dxfId="1" priority="2"/>
  </conditionalFormatting>
  <conditionalFormatting sqref="C72:C10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8398-445A-42D1-9E23-A4409AC89A37}">
  <dimension ref="A1:O5"/>
  <sheetViews>
    <sheetView showGridLines="0" workbookViewId="0">
      <selection sqref="A1:O1"/>
    </sheetView>
  </sheetViews>
  <sheetFormatPr defaultRowHeight="13.8" x14ac:dyDescent="0.3"/>
  <cols>
    <col min="1" max="1" width="11.33203125" style="4" bestFit="1" customWidth="1"/>
    <col min="2" max="2" width="27.33203125" style="4" bestFit="1" customWidth="1"/>
    <col min="3" max="3" width="27.33203125" style="4" customWidth="1"/>
    <col min="4" max="4" width="18.33203125" style="4" bestFit="1" customWidth="1"/>
    <col min="5" max="5" width="17.77734375" style="4" bestFit="1" customWidth="1"/>
    <col min="6" max="6" width="16.5546875" style="4" bestFit="1" customWidth="1"/>
    <col min="7" max="7" width="16" style="4" bestFit="1" customWidth="1"/>
    <col min="8" max="8" width="25.44140625" style="4" bestFit="1" customWidth="1"/>
    <col min="9" max="9" width="24.77734375" style="4" bestFit="1" customWidth="1"/>
    <col min="10" max="11" width="24.77734375" style="4" customWidth="1"/>
    <col min="12" max="12" width="25.44140625" style="4" bestFit="1" customWidth="1"/>
    <col min="13" max="13" width="24.77734375" style="4" bestFit="1" customWidth="1"/>
    <col min="14" max="14" width="26" style="4" bestFit="1" customWidth="1"/>
    <col min="15" max="15" width="25.5546875" style="4" bestFit="1" customWidth="1"/>
    <col min="16" max="16384" width="8.88671875" style="4"/>
  </cols>
  <sheetData>
    <row r="1" spans="1:15" x14ac:dyDescent="0.3">
      <c r="A1" s="7" t="s">
        <v>55</v>
      </c>
      <c r="B1" s="7" t="s">
        <v>71</v>
      </c>
      <c r="C1" s="7" t="s">
        <v>53</v>
      </c>
      <c r="D1" s="13" t="s">
        <v>57</v>
      </c>
      <c r="E1" s="13" t="s">
        <v>56</v>
      </c>
      <c r="F1" s="13" t="s">
        <v>2</v>
      </c>
      <c r="G1" s="13" t="s">
        <v>1</v>
      </c>
      <c r="H1" s="13" t="s">
        <v>74</v>
      </c>
      <c r="I1" s="13" t="s">
        <v>3</v>
      </c>
      <c r="J1" s="13" t="s">
        <v>75</v>
      </c>
      <c r="K1" s="13" t="s">
        <v>5</v>
      </c>
      <c r="L1" s="13" t="s">
        <v>76</v>
      </c>
      <c r="M1" s="13" t="s">
        <v>77</v>
      </c>
      <c r="N1" s="13" t="s">
        <v>88</v>
      </c>
      <c r="O1" s="13" t="s">
        <v>89</v>
      </c>
    </row>
    <row r="2" spans="1:15" x14ac:dyDescent="0.3">
      <c r="A2" s="12" t="s">
        <v>73</v>
      </c>
      <c r="B2" s="12" t="s">
        <v>79</v>
      </c>
      <c r="C2" s="9">
        <v>46174</v>
      </c>
      <c r="D2" s="10">
        <v>1700000</v>
      </c>
      <c r="E2" s="11">
        <v>0.4</v>
      </c>
      <c r="F2" s="12">
        <v>130</v>
      </c>
      <c r="G2" s="11">
        <v>0.25</v>
      </c>
      <c r="H2" s="10">
        <v>1000000</v>
      </c>
      <c r="I2" s="11">
        <v>0.1</v>
      </c>
      <c r="J2" s="10">
        <v>20000</v>
      </c>
      <c r="K2" s="11">
        <v>0.05</v>
      </c>
      <c r="L2" s="10">
        <v>5000</v>
      </c>
      <c r="M2" s="11">
        <v>0.2</v>
      </c>
      <c r="N2" s="12"/>
      <c r="O2" s="12"/>
    </row>
    <row r="3" spans="1:15" x14ac:dyDescent="0.3">
      <c r="A3" s="12" t="s">
        <v>73</v>
      </c>
      <c r="B3" s="12" t="s">
        <v>80</v>
      </c>
      <c r="C3" s="9">
        <v>46174</v>
      </c>
      <c r="D3" s="10">
        <v>1600000</v>
      </c>
      <c r="E3" s="11">
        <v>0.4</v>
      </c>
      <c r="F3" s="12">
        <v>90</v>
      </c>
      <c r="G3" s="11">
        <v>0.25</v>
      </c>
      <c r="H3" s="10">
        <v>1000000</v>
      </c>
      <c r="I3" s="11">
        <v>0.1</v>
      </c>
      <c r="J3" s="10">
        <v>20000</v>
      </c>
      <c r="K3" s="11">
        <v>0.05</v>
      </c>
      <c r="L3" s="10">
        <v>2000</v>
      </c>
      <c r="M3" s="11">
        <v>0.2</v>
      </c>
      <c r="N3" s="12"/>
      <c r="O3" s="12"/>
    </row>
    <row r="4" spans="1:15" ht="14.4" x14ac:dyDescent="0.3">
      <c r="A4" s="12" t="s">
        <v>73</v>
      </c>
      <c r="B4" s="12" t="s">
        <v>79</v>
      </c>
      <c r="C4" s="9">
        <v>46204</v>
      </c>
      <c r="D4" s="14">
        <v>2200000</v>
      </c>
      <c r="E4" s="15">
        <v>0.7</v>
      </c>
      <c r="F4" s="12"/>
      <c r="G4" s="12"/>
      <c r="H4" s="14">
        <v>1000000</v>
      </c>
      <c r="I4" s="15">
        <v>0.1</v>
      </c>
      <c r="J4" s="14">
        <v>100000</v>
      </c>
      <c r="K4" s="15">
        <v>0.05</v>
      </c>
      <c r="L4" s="14">
        <v>10000</v>
      </c>
      <c r="M4" s="15">
        <v>0.05</v>
      </c>
      <c r="N4" s="16">
        <v>20000</v>
      </c>
      <c r="O4" s="15">
        <v>0.1</v>
      </c>
    </row>
    <row r="5" spans="1:15" ht="14.4" x14ac:dyDescent="0.3">
      <c r="A5" s="12" t="s">
        <v>73</v>
      </c>
      <c r="B5" s="12" t="s">
        <v>80</v>
      </c>
      <c r="C5" s="9">
        <v>46204</v>
      </c>
      <c r="D5" s="14">
        <v>1800000</v>
      </c>
      <c r="E5" s="15">
        <v>0.7</v>
      </c>
      <c r="F5" s="12"/>
      <c r="G5" s="12"/>
      <c r="H5" s="14">
        <v>1000000</v>
      </c>
      <c r="I5" s="15">
        <v>0.1</v>
      </c>
      <c r="J5" s="14">
        <v>100000</v>
      </c>
      <c r="K5" s="15">
        <v>0.05</v>
      </c>
      <c r="L5" s="14">
        <v>10000</v>
      </c>
      <c r="M5" s="15">
        <v>0.05</v>
      </c>
      <c r="N5" s="16">
        <v>20000</v>
      </c>
      <c r="O5" s="15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741B-ED62-42CC-8143-B374D33525D9}">
  <dimension ref="A1:Q3"/>
  <sheetViews>
    <sheetView showGridLines="0" topLeftCell="C1" workbookViewId="0">
      <selection activeCell="F3" sqref="F3"/>
    </sheetView>
  </sheetViews>
  <sheetFormatPr defaultRowHeight="13.8" x14ac:dyDescent="0.3"/>
  <cols>
    <col min="1" max="1" width="11.33203125" style="5" bestFit="1" customWidth="1"/>
    <col min="2" max="2" width="27.33203125" style="5" bestFit="1" customWidth="1"/>
    <col min="3" max="3" width="27.33203125" style="4" customWidth="1"/>
    <col min="4" max="4" width="18.33203125" style="4" bestFit="1" customWidth="1"/>
    <col min="5" max="5" width="17.77734375" style="4" bestFit="1" customWidth="1"/>
    <col min="6" max="6" width="16.5546875" style="4" bestFit="1" customWidth="1"/>
    <col min="7" max="7" width="16" style="4" bestFit="1" customWidth="1"/>
    <col min="8" max="8" width="25.44140625" style="4" bestFit="1" customWidth="1"/>
    <col min="9" max="9" width="24.77734375" style="4" bestFit="1" customWidth="1"/>
    <col min="10" max="11" width="24.77734375" style="4" customWidth="1"/>
    <col min="12" max="12" width="25.44140625" style="4" bestFit="1" customWidth="1"/>
    <col min="13" max="13" width="24.77734375" style="4" bestFit="1" customWidth="1"/>
    <col min="14" max="14" width="26" style="4" bestFit="1" customWidth="1"/>
    <col min="15" max="15" width="25.5546875" style="4" bestFit="1" customWidth="1"/>
    <col min="16" max="16" width="31.5546875" style="4" bestFit="1" customWidth="1"/>
    <col min="17" max="17" width="31.109375" style="4" bestFit="1" customWidth="1"/>
    <col min="18" max="16384" width="8.88671875" style="4"/>
  </cols>
  <sheetData>
    <row r="1" spans="1:17" x14ac:dyDescent="0.3">
      <c r="A1" s="6" t="s">
        <v>55</v>
      </c>
      <c r="B1" s="6" t="s">
        <v>71</v>
      </c>
      <c r="C1" s="7" t="s">
        <v>53</v>
      </c>
      <c r="D1" s="13" t="s">
        <v>57</v>
      </c>
      <c r="E1" s="13" t="s">
        <v>56</v>
      </c>
      <c r="F1" s="13" t="s">
        <v>2</v>
      </c>
      <c r="G1" s="13" t="s">
        <v>1</v>
      </c>
      <c r="H1" s="13" t="s">
        <v>74</v>
      </c>
      <c r="I1" s="13" t="s">
        <v>3</v>
      </c>
      <c r="J1" s="13" t="s">
        <v>75</v>
      </c>
      <c r="K1" s="13" t="s">
        <v>5</v>
      </c>
      <c r="L1" s="13" t="s">
        <v>76</v>
      </c>
      <c r="M1" s="13" t="s">
        <v>77</v>
      </c>
      <c r="N1" s="13" t="s">
        <v>88</v>
      </c>
      <c r="O1" s="13" t="s">
        <v>89</v>
      </c>
      <c r="P1" s="13" t="s">
        <v>90</v>
      </c>
      <c r="Q1" s="13" t="s">
        <v>91</v>
      </c>
    </row>
    <row r="2" spans="1:17" x14ac:dyDescent="0.3">
      <c r="A2" s="8" t="s">
        <v>72</v>
      </c>
      <c r="B2" s="8" t="s">
        <v>78</v>
      </c>
      <c r="C2" s="9">
        <v>46174</v>
      </c>
      <c r="D2" s="10">
        <v>4100000</v>
      </c>
      <c r="E2" s="11">
        <v>0.8</v>
      </c>
      <c r="F2" s="12">
        <v>380</v>
      </c>
      <c r="G2" s="11">
        <v>0.1</v>
      </c>
      <c r="H2" s="10">
        <v>3100000</v>
      </c>
      <c r="I2" s="11">
        <v>0.05</v>
      </c>
      <c r="J2" s="10">
        <v>100000</v>
      </c>
      <c r="K2" s="11">
        <v>0.05</v>
      </c>
      <c r="L2" s="10">
        <v>20000</v>
      </c>
      <c r="M2" s="11">
        <v>0</v>
      </c>
      <c r="N2" s="10"/>
      <c r="O2" s="11"/>
      <c r="P2" s="10"/>
      <c r="Q2" s="11"/>
    </row>
    <row r="3" spans="1:17" x14ac:dyDescent="0.3">
      <c r="A3" s="8" t="s">
        <v>72</v>
      </c>
      <c r="B3" s="8" t="s">
        <v>78</v>
      </c>
      <c r="C3" s="9">
        <v>46204</v>
      </c>
      <c r="D3" s="10">
        <v>5300000</v>
      </c>
      <c r="E3" s="11">
        <v>0.7</v>
      </c>
      <c r="F3" s="12"/>
      <c r="G3" s="11"/>
      <c r="H3" s="10">
        <v>3000000</v>
      </c>
      <c r="I3" s="11">
        <v>0.05</v>
      </c>
      <c r="J3" s="10">
        <v>300000</v>
      </c>
      <c r="K3" s="11">
        <v>0.05</v>
      </c>
      <c r="L3" s="10"/>
      <c r="M3" s="11"/>
      <c r="N3" s="10">
        <v>80000</v>
      </c>
      <c r="O3" s="11">
        <v>0.1</v>
      </c>
      <c r="P3" s="10">
        <v>35000</v>
      </c>
      <c r="Q3" s="1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META_VENDEDOR</vt:lpstr>
      <vt:lpstr>META_SUPERVISOR</vt:lpstr>
      <vt:lpstr>META_GERENTE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Geovanna Victoria S. Lescano</dc:creator>
  <cp:lastModifiedBy>Leonardo Campos</cp:lastModifiedBy>
  <dcterms:created xsi:type="dcterms:W3CDTF">2015-06-05T18:19:34Z</dcterms:created>
  <dcterms:modified xsi:type="dcterms:W3CDTF">2026-07-10T18:58:23Z</dcterms:modified>
</cp:coreProperties>
</file>