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G:\Drives compartilhados\Off Trade\Campanhas e Metas\METAS\"/>
    </mc:Choice>
  </mc:AlternateContent>
  <xr:revisionPtr revIDLastSave="0" documentId="13_ncr:1_{D7E72D6F-B6B6-47EE-B991-2E61BB512F2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ETA_VENDEDOR" sheetId="1" r:id="rId1"/>
    <sheet name="META_SUPERVISOR" sheetId="2" r:id="rId2"/>
    <sheet name="META_GERENTE" sheetId="3" r:id="rId3"/>
  </sheets>
  <definedNames>
    <definedName name="_xlnm._FilterDatabase" localSheetId="0" hidden="1">META_VENDEDOR!$A$1:$O$48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<sst xmlns="http://schemas.openxmlformats.org/spreadsheetml/2006/main" count="215" uniqueCount="92">
  <si>
    <t>RCA</t>
  </si>
  <si>
    <t>PESO POSITIVAÇÃO</t>
  </si>
  <si>
    <t>META POSITIVAÇÃO</t>
  </si>
  <si>
    <t>PESO FATURAMENTO PERNOD</t>
  </si>
  <si>
    <t xml:space="preserve">META FATURAMENTO PERNOD </t>
  </si>
  <si>
    <t>PESO FATURAMENTO CRS</t>
  </si>
  <si>
    <t xml:space="preserve">META FATURAMENTO CRS </t>
  </si>
  <si>
    <t xml:space="preserve">PESO FATURAMENTO ESSENZA </t>
  </si>
  <si>
    <t xml:space="preserve">META FATURAMENTO ESSENZA </t>
  </si>
  <si>
    <t>RENATO JUNIOR - OFF TRADE</t>
  </si>
  <si>
    <t xml:space="preserve">SP1 </t>
  </si>
  <si>
    <t>SP2</t>
  </si>
  <si>
    <t>SP3</t>
  </si>
  <si>
    <t>PRISCILLA BONACHE - OFF TRADE</t>
  </si>
  <si>
    <t>ANDRE SILVA - OFF TRADE</t>
  </si>
  <si>
    <t>CARLOS DE ALMEIDA - OFF TRADE</t>
  </si>
  <si>
    <t>MARCIA RITA - OFF TRADE</t>
  </si>
  <si>
    <t>PATRICIA RAMOS - OFF TRADE</t>
  </si>
  <si>
    <t>CLT</t>
  </si>
  <si>
    <t>RCA - ANTIGO</t>
  </si>
  <si>
    <t xml:space="preserve">RCA - NOVOS </t>
  </si>
  <si>
    <t>LEONARDO FLOREZI - OFF TRADE</t>
  </si>
  <si>
    <t>CARLOS TERRA - OFF TRADE</t>
  </si>
  <si>
    <t>ROBSON DA SILVA - OFF TRADE</t>
  </si>
  <si>
    <t>WANDO MACHADO - OFF TRADE</t>
  </si>
  <si>
    <t>JOAO LUPORINI - OFF TRADE</t>
  </si>
  <si>
    <t>BRUNO BARBOSA - OFF TRADE</t>
  </si>
  <si>
    <t>MARIO RAFAEL FERRARI - OFF TRADE</t>
  </si>
  <si>
    <t>MANUELA ZAPPACOSTA - OFF TRADE</t>
  </si>
  <si>
    <t>ADER ALONSO - OFF TRADE</t>
  </si>
  <si>
    <t>MARLENE RODRIGUES - OFF TRADE</t>
  </si>
  <si>
    <t>DANIELLE DOS SANTOS - OFF TRADE</t>
  </si>
  <si>
    <t>CRISTIANE MORAIS - OFF TRADE</t>
  </si>
  <si>
    <t>ROBERTO DOS SANTOS - OFF TRADE</t>
  </si>
  <si>
    <t>SUELY SANTOS - OFF TRADE</t>
  </si>
  <si>
    <t>CIARA PADULA - OFF TRADE</t>
  </si>
  <si>
    <t>PAULO JUNIOR - OFF TRADE</t>
  </si>
  <si>
    <t>FLAVIO RIBEIRO - OFF TRADE</t>
  </si>
  <si>
    <t>ANDRE PINHEIRO - OFF TRADE</t>
  </si>
  <si>
    <t>PATRICIO MASSAGARDI - OFF TRADE</t>
  </si>
  <si>
    <t>VITORIA VIEIRA - OFF TRADE</t>
  </si>
  <si>
    <t>MARIA PEREIRA - OFF TRADE</t>
  </si>
  <si>
    <t>ELIZANGELA RODRIGUES - OFF TRADE</t>
  </si>
  <si>
    <t>MARCELO PEREIRA - OFF TRADE</t>
  </si>
  <si>
    <t>FRANCIS SILVA - OFF TRADE</t>
  </si>
  <si>
    <t>LUCAS BUENO - OFF TRADE</t>
  </si>
  <si>
    <t>RODRIGO LIMA - OFF TRADE</t>
  </si>
  <si>
    <t>LUCIANO TOSCHI - OFF TRADE</t>
  </si>
  <si>
    <t>ADELINO SANTOS - OFF TRADE</t>
  </si>
  <si>
    <t>RENAN SOUZA - OFF TRADE</t>
  </si>
  <si>
    <t>SP 1</t>
  </si>
  <si>
    <t>SP 2</t>
  </si>
  <si>
    <t>SP 3</t>
  </si>
  <si>
    <t>MÊS</t>
  </si>
  <si>
    <t>FILIAL</t>
  </si>
  <si>
    <t>CONTRATO</t>
  </si>
  <si>
    <t>PESO FATURAMENTO</t>
  </si>
  <si>
    <t>META FATURAMENTO</t>
  </si>
  <si>
    <t>VENDEDOR</t>
  </si>
  <si>
    <t>ANDERSON CANAVEIS - OFF TRADE</t>
  </si>
  <si>
    <t>MARCUS TANAMACHI - OFF TRADE</t>
  </si>
  <si>
    <t>ALEXANDRE TONON - OFF TRADE</t>
  </si>
  <si>
    <t>ANDERSON MOTTA - OFF TRADE</t>
  </si>
  <si>
    <t>BRYAN PALOPOLI - OFF TRADE</t>
  </si>
  <si>
    <t>CAROLINA SOUZA - OFF TRADE</t>
  </si>
  <si>
    <t>DOUGLAS TEIXEIRA - OFF TRADE</t>
  </si>
  <si>
    <t>EDUARDO COUTO - OFF TRADE</t>
  </si>
  <si>
    <t>FERNANDO BERTIN - OFF TRADE</t>
  </si>
  <si>
    <t>GILSON DE OLIVEIRA - OFF TRADE</t>
  </si>
  <si>
    <t>LUIZ RIGLER - OFF TRADE</t>
  </si>
  <si>
    <t>ADRIANO VEZZANI - OFF TRADE</t>
  </si>
  <si>
    <t>NOME</t>
  </si>
  <si>
    <t>GERENTE</t>
  </si>
  <si>
    <t>SUPERVISOR</t>
  </si>
  <si>
    <t>META FATURAMENTO PERNOD</t>
  </si>
  <si>
    <t>META FATURAMENTO CRS</t>
  </si>
  <si>
    <t>META FATURAMENTO ESSENZA</t>
  </si>
  <si>
    <t>PESO FATURAMENTO ESSENZA</t>
  </si>
  <si>
    <t>MARCUS TANAMACHI</t>
  </si>
  <si>
    <t>PRISCILLA BONACHE</t>
  </si>
  <si>
    <t>ANDERSON CANAVEIS</t>
  </si>
  <si>
    <t>CELSO OLIVEIRA - OFF TRADE</t>
  </si>
  <si>
    <t>DEMETRIUS PELEGRINI - OFF TRADE</t>
  </si>
  <si>
    <t>GUSTAVO MARTINS - OFF TRADE</t>
  </si>
  <si>
    <t>JESSICA LIMA -  OFF TRADE</t>
  </si>
  <si>
    <t>JOSE SILVA - OFF TRADE</t>
  </si>
  <si>
    <t>LUIS MACHADO - OFF TRADE</t>
  </si>
  <si>
    <t>PAULO MOREIRA - OFF TRADE</t>
  </si>
  <si>
    <t>META FATURAMENTO CASTAS</t>
  </si>
  <si>
    <t>PESO FATURAMENTO CASTAS</t>
  </si>
  <si>
    <t>META FATURAMENTO ESSENZA + HOB</t>
  </si>
  <si>
    <t>PESO FATURAMENTO ESSENZA + HOB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</si>
</sst>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%"/>
    <numFmt numFmtId="165" formatCode="&quot;R$&quot;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2" fillId="2" borderId="1" xfId="1" applyNumberFormat="1" applyFont="1" applyFill="1" applyBorder="1" applyAlignment="1">
      <alignment horizontal="left"/>
    </xf>
    <xf numFmtId="9" fontId="0" fillId="0" borderId="1" xfId="1" applyFont="1" applyBorder="1"/>
    <xf numFmtId="164" fontId="0" fillId="0" borderId="1" xfId="1" applyNumberFormat="1" applyFont="1" applyBorder="1"/>
    <xf numFmtId="9" fontId="2" fillId="2" borderId="1" xfId="1" applyFont="1" applyFill="1" applyBorder="1" applyAlignment="1">
      <alignment horizontal="left"/>
    </xf>
    <xf numFmtId="9" fontId="0" fillId="0" borderId="0" xfId="1" applyFont="1"/>
    <xf numFmtId="165" fontId="0" fillId="0" borderId="1" xfId="0" applyNumberFormat="1" applyBorder="1"/>
    <xf numFmtId="17" fontId="0" fillId="0" borderId="1" xfId="0" applyNumberFormat="1" applyBorder="1"/>
    <xf numFmtId="0" fontId="0" fillId="0" borderId="0" xfId="0" applyBorder="1"/>
    <xf numFmtId="0" fontId="0" fillId="0" borderId="1" xfId="0" applyBorder="1" applyAlignment="1">
      <alignment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4" fontId="3" fillId="0" borderId="1" xfId="0" applyNumberFormat="1" applyFont="1" applyBorder="1" applyAlignment="1">
      <alignment horizontal="center" vertical="center"/>
    </xf>
    <xf numFmtId="44" fontId="3" fillId="3" borderId="1" xfId="2" applyFont="1" applyFill="1" applyBorder="1" applyAlignment="1">
      <alignment horizontal="center" vertical="center"/>
    </xf>
    <xf numFmtId="10" fontId="3" fillId="3" borderId="1" xfId="2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4" fillId="4" borderId="1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top"/>
    </xf>
    <xf numFmtId="0" fontId="5" fillId="0" borderId="2" xfId="0" applyFont="1" applyFill="1" applyBorder="1" applyAlignment="1">
      <alignment horizontal="left" vertical="top"/>
    </xf>
  </cellXfs>
  <cellStyles count="3">
    <cellStyle name="Moeda" xfId="2" builtinId="4"/>
    <cellStyle name="Normal" xfId="0" builtinId="0"/>
    <cellStyle name="Porcentagem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6"/>
  <sheetViews>
    <sheetView showGridLines="0" topLeftCell="A35" workbookViewId="0">
      <selection activeCell="C59" sqref="C59"/>
    </sheetView>
  </sheetViews>
  <sheetFormatPr defaultRowHeight="14.4" x14ac:dyDescent="0.3"/>
  <cols>
    <col min="1" max="1" width="7.88671875" bestFit="1" customWidth="1"/>
    <col min="2" max="2" width="12.44140625" bestFit="1" customWidth="1"/>
    <col min="3" max="3" width="40" customWidth="1"/>
    <col min="4" max="4" width="4.21875" bestFit="1" customWidth="1"/>
    <col min="5" max="5" width="24.88671875" style="6" bestFit="1" customWidth="1"/>
    <col min="6" max="6" width="25.44140625" bestFit="1" customWidth="1"/>
    <col min="7" max="7" width="16.5546875" bestFit="1" customWidth="1"/>
    <col min="8" max="8" width="17" bestFit="1" customWidth="1"/>
    <col min="9" max="9" width="25.5546875" bestFit="1" customWidth="1"/>
    <col min="10" max="10" width="26.44140625" bestFit="1" customWidth="1"/>
    <col min="11" max="11" width="21.6640625" bestFit="1" customWidth="1"/>
    <col min="12" max="12" width="22.5546875" bestFit="1" customWidth="1"/>
    <col min="13" max="13" width="28.21875" bestFit="1" customWidth="1"/>
    <col min="14" max="14" width="28.6640625" bestFit="1" customWidth="1"/>
    <col min="15" max="15" width="6.21875" bestFit="1" customWidth="1"/>
    <col min="16" max="16384" width="8.88671875" style="9"/>
  </cols>
  <sheetData>
    <row r="1" spans="1:15" x14ac:dyDescent="0.3">
      <c r="A1" s="2" t="s">
        <v>54</v>
      </c>
      <c r="B1" s="2" t="s">
        <v>55</v>
      </c>
      <c r="C1" s="2" t="s">
        <v>58</v>
      </c>
      <c r="D1" s="2" t="s">
        <v>0</v>
      </c>
      <c r="E1" s="5" t="s">
        <v>56</v>
      </c>
      <c r="F1" s="2" t="s">
        <v>57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53</v>
      </c>
    </row>
    <row r="2" spans="1:15" x14ac:dyDescent="0.3">
      <c r="A2" s="1" t="s">
        <v>52</v>
      </c>
      <c r="B2" s="1" t="s">
        <v>20</v>
      </c>
      <c r="C2" s="1" t="s">
        <v>48</v>
      </c>
      <c r="D2" s="1">
        <v>479</v>
      </c>
      <c r="E2" s="3"/>
      <c r="F2" s="7">
        <v>20000</v>
      </c>
      <c r="G2" s="1"/>
      <c r="H2" s="1">
        <v>10</v>
      </c>
      <c r="I2" s="1"/>
      <c r="J2" s="7">
        <v>10000</v>
      </c>
      <c r="K2" s="1"/>
      <c r="L2" s="7"/>
      <c r="M2" s="1"/>
      <c r="N2" s="7"/>
      <c r="O2" s="8">
        <v>46174</v>
      </c>
    </row>
    <row r="3" spans="1:15" x14ac:dyDescent="0.3">
      <c r="A3" s="1" t="s">
        <v>12</v>
      </c>
      <c r="B3" s="1" t="s">
        <v>19</v>
      </c>
      <c r="C3" s="1" t="s">
        <v>29</v>
      </c>
      <c r="D3" s="1">
        <v>426</v>
      </c>
      <c r="E3" s="4"/>
      <c r="F3" s="7">
        <v>800000</v>
      </c>
      <c r="G3" s="4"/>
      <c r="H3" s="1">
        <v>40</v>
      </c>
      <c r="I3" s="4"/>
      <c r="J3" s="7">
        <v>600000</v>
      </c>
      <c r="K3" s="4"/>
      <c r="L3" s="7">
        <v>10000</v>
      </c>
      <c r="M3" s="4">
        <v>0.05</v>
      </c>
      <c r="N3" s="7"/>
      <c r="O3" s="8">
        <v>46174</v>
      </c>
    </row>
    <row r="4" spans="1:15" x14ac:dyDescent="0.3">
      <c r="A4" s="1" t="s">
        <v>11</v>
      </c>
      <c r="B4" s="1" t="s">
        <v>18</v>
      </c>
      <c r="C4" s="1" t="s">
        <v>59</v>
      </c>
      <c r="D4" s="1">
        <v>232</v>
      </c>
      <c r="E4" s="4"/>
      <c r="F4" s="7">
        <v>800000</v>
      </c>
      <c r="G4" s="4"/>
      <c r="H4" s="1">
        <v>1</v>
      </c>
      <c r="I4" s="4"/>
      <c r="J4" s="7">
        <v>800000</v>
      </c>
      <c r="K4" s="4"/>
      <c r="L4" s="7"/>
      <c r="M4" s="4"/>
      <c r="N4" s="7"/>
      <c r="O4" s="8">
        <v>46174</v>
      </c>
    </row>
    <row r="5" spans="1:15" x14ac:dyDescent="0.3">
      <c r="A5" s="1" t="s">
        <v>50</v>
      </c>
      <c r="B5" s="1" t="s">
        <v>20</v>
      </c>
      <c r="C5" s="1" t="s">
        <v>38</v>
      </c>
      <c r="D5" s="1">
        <v>485</v>
      </c>
      <c r="E5" s="4"/>
      <c r="F5" s="7">
        <v>10000</v>
      </c>
      <c r="G5" s="4"/>
      <c r="H5" s="1">
        <v>5</v>
      </c>
      <c r="I5" s="4"/>
      <c r="J5" s="7">
        <v>5000</v>
      </c>
      <c r="K5" s="4"/>
      <c r="L5" s="7"/>
      <c r="M5" s="4"/>
      <c r="N5" s="7"/>
      <c r="O5" s="8">
        <v>46174</v>
      </c>
    </row>
    <row r="6" spans="1:15" x14ac:dyDescent="0.3">
      <c r="A6" s="1" t="s">
        <v>11</v>
      </c>
      <c r="B6" s="1" t="s">
        <v>18</v>
      </c>
      <c r="C6" s="1" t="s">
        <v>14</v>
      </c>
      <c r="D6" s="1">
        <v>391</v>
      </c>
      <c r="E6" s="4">
        <v>0.6</v>
      </c>
      <c r="F6" s="7">
        <v>350000</v>
      </c>
      <c r="G6" s="4">
        <v>0.1</v>
      </c>
      <c r="H6" s="1">
        <v>20</v>
      </c>
      <c r="I6" s="4">
        <v>0.1</v>
      </c>
      <c r="J6" s="7">
        <v>150000</v>
      </c>
      <c r="K6" s="4">
        <v>0.05</v>
      </c>
      <c r="L6" s="7">
        <v>12000</v>
      </c>
      <c r="M6" s="4">
        <v>0.15</v>
      </c>
      <c r="N6" s="7">
        <v>3000</v>
      </c>
      <c r="O6" s="8">
        <v>46174</v>
      </c>
    </row>
    <row r="7" spans="1:15" x14ac:dyDescent="0.3">
      <c r="A7" s="1" t="s">
        <v>12</v>
      </c>
      <c r="B7" s="1" t="s">
        <v>19</v>
      </c>
      <c r="C7" s="1" t="s">
        <v>26</v>
      </c>
      <c r="D7" s="1">
        <v>425</v>
      </c>
      <c r="E7" s="4"/>
      <c r="F7" s="7">
        <v>50000</v>
      </c>
      <c r="G7" s="4"/>
      <c r="H7" s="1">
        <v>15</v>
      </c>
      <c r="I7" s="4"/>
      <c r="J7" s="7">
        <v>20000</v>
      </c>
      <c r="K7" s="4"/>
      <c r="L7" s="7"/>
      <c r="M7" s="4">
        <v>0.05</v>
      </c>
      <c r="N7" s="7"/>
      <c r="O7" s="8">
        <v>46174</v>
      </c>
    </row>
    <row r="8" spans="1:15" x14ac:dyDescent="0.3">
      <c r="A8" s="1" t="s">
        <v>11</v>
      </c>
      <c r="B8" s="1" t="s">
        <v>18</v>
      </c>
      <c r="C8" s="1" t="s">
        <v>15</v>
      </c>
      <c r="D8" s="1">
        <v>371</v>
      </c>
      <c r="E8" s="4">
        <v>0.6</v>
      </c>
      <c r="F8" s="7">
        <v>400000</v>
      </c>
      <c r="G8" s="4">
        <v>0.1</v>
      </c>
      <c r="H8" s="1">
        <v>35</v>
      </c>
      <c r="I8" s="4">
        <v>0.1</v>
      </c>
      <c r="J8" s="7">
        <v>320000</v>
      </c>
      <c r="K8" s="4">
        <v>0.05</v>
      </c>
      <c r="L8" s="7">
        <v>12000</v>
      </c>
      <c r="M8" s="4">
        <v>0.15</v>
      </c>
      <c r="N8" s="7">
        <v>3000</v>
      </c>
      <c r="O8" s="8">
        <v>46174</v>
      </c>
    </row>
    <row r="9" spans="1:15" x14ac:dyDescent="0.3">
      <c r="A9" s="1" t="s">
        <v>10</v>
      </c>
      <c r="B9" s="1" t="s">
        <v>19</v>
      </c>
      <c r="C9" s="1" t="s">
        <v>22</v>
      </c>
      <c r="D9" s="1">
        <v>310</v>
      </c>
      <c r="E9" s="4"/>
      <c r="F9" s="7">
        <v>50000</v>
      </c>
      <c r="G9" s="4"/>
      <c r="H9" s="1">
        <v>1</v>
      </c>
      <c r="I9" s="4"/>
      <c r="J9" s="7">
        <v>50000</v>
      </c>
      <c r="K9" s="4"/>
      <c r="L9" s="7"/>
      <c r="M9" s="4">
        <v>0.05</v>
      </c>
      <c r="N9" s="7"/>
      <c r="O9" s="8">
        <v>46174</v>
      </c>
    </row>
    <row r="10" spans="1:15" x14ac:dyDescent="0.3">
      <c r="A10" s="1" t="s">
        <v>50</v>
      </c>
      <c r="B10" s="1" t="s">
        <v>20</v>
      </c>
      <c r="C10" s="1" t="s">
        <v>35</v>
      </c>
      <c r="D10" s="1">
        <v>465</v>
      </c>
      <c r="E10" s="4"/>
      <c r="F10" s="7">
        <v>50000</v>
      </c>
      <c r="G10" s="4"/>
      <c r="H10" s="1">
        <v>20</v>
      </c>
      <c r="I10" s="4"/>
      <c r="J10" s="7">
        <v>50000</v>
      </c>
      <c r="K10" s="4"/>
      <c r="L10" s="7">
        <v>3000</v>
      </c>
      <c r="M10" s="4"/>
      <c r="N10" s="7">
        <v>2000</v>
      </c>
      <c r="O10" s="8">
        <v>46174</v>
      </c>
    </row>
    <row r="11" spans="1:15" x14ac:dyDescent="0.3">
      <c r="A11" s="1" t="s">
        <v>50</v>
      </c>
      <c r="B11" s="1" t="s">
        <v>20</v>
      </c>
      <c r="C11" s="1" t="s">
        <v>32</v>
      </c>
      <c r="D11" s="1">
        <v>460</v>
      </c>
      <c r="E11" s="4"/>
      <c r="F11" s="7">
        <v>80000</v>
      </c>
      <c r="G11" s="4"/>
      <c r="H11" s="1">
        <v>30</v>
      </c>
      <c r="I11" s="4"/>
      <c r="J11" s="7">
        <v>50000</v>
      </c>
      <c r="K11" s="4"/>
      <c r="L11" s="7">
        <v>5000</v>
      </c>
      <c r="M11" s="4"/>
      <c r="N11" s="7">
        <v>2000</v>
      </c>
      <c r="O11" s="8">
        <v>46174</v>
      </c>
    </row>
    <row r="12" spans="1:15" x14ac:dyDescent="0.3">
      <c r="A12" s="1" t="s">
        <v>50</v>
      </c>
      <c r="B12" s="1" t="s">
        <v>20</v>
      </c>
      <c r="C12" s="1" t="s">
        <v>31</v>
      </c>
      <c r="D12" s="1">
        <v>466</v>
      </c>
      <c r="E12" s="4"/>
      <c r="F12" s="7">
        <v>50000</v>
      </c>
      <c r="G12" s="4"/>
      <c r="H12" s="1">
        <v>15</v>
      </c>
      <c r="I12" s="4"/>
      <c r="J12" s="7">
        <v>15000</v>
      </c>
      <c r="K12" s="4"/>
      <c r="L12" s="7">
        <v>2000</v>
      </c>
      <c r="M12" s="4"/>
      <c r="N12" s="7">
        <v>2000</v>
      </c>
      <c r="O12" s="8">
        <v>46174</v>
      </c>
    </row>
    <row r="13" spans="1:15" x14ac:dyDescent="0.3">
      <c r="A13" s="1" t="s">
        <v>52</v>
      </c>
      <c r="B13" s="1" t="s">
        <v>20</v>
      </c>
      <c r="C13" s="1" t="s">
        <v>42</v>
      </c>
      <c r="D13" s="1">
        <v>462</v>
      </c>
      <c r="E13" s="3"/>
      <c r="F13" s="7">
        <v>150000</v>
      </c>
      <c r="G13" s="1"/>
      <c r="H13" s="1">
        <v>2</v>
      </c>
      <c r="I13" s="1"/>
      <c r="J13" s="7">
        <v>120000</v>
      </c>
      <c r="K13" s="1"/>
      <c r="L13" s="7"/>
      <c r="M13" s="1"/>
      <c r="N13" s="7"/>
      <c r="O13" s="8">
        <v>46174</v>
      </c>
    </row>
    <row r="14" spans="1:15" x14ac:dyDescent="0.3">
      <c r="A14" s="1" t="s">
        <v>50</v>
      </c>
      <c r="B14" s="1" t="s">
        <v>20</v>
      </c>
      <c r="C14" s="1" t="s">
        <v>37</v>
      </c>
      <c r="D14" s="1">
        <v>472</v>
      </c>
      <c r="E14" s="4"/>
      <c r="F14" s="7">
        <v>30000</v>
      </c>
      <c r="G14" s="4"/>
      <c r="H14" s="1">
        <v>10</v>
      </c>
      <c r="I14" s="4"/>
      <c r="J14" s="7">
        <v>20000</v>
      </c>
      <c r="K14" s="4"/>
      <c r="L14" s="7">
        <v>2000</v>
      </c>
      <c r="M14" s="4"/>
      <c r="N14" s="7"/>
      <c r="O14" s="8">
        <v>46174</v>
      </c>
    </row>
    <row r="15" spans="1:15" x14ac:dyDescent="0.3">
      <c r="A15" s="1" t="s">
        <v>52</v>
      </c>
      <c r="B15" s="1" t="s">
        <v>20</v>
      </c>
      <c r="C15" s="1" t="s">
        <v>44</v>
      </c>
      <c r="D15" s="1">
        <v>474</v>
      </c>
      <c r="E15" s="3"/>
      <c r="F15" s="7">
        <v>30000</v>
      </c>
      <c r="G15" s="1"/>
      <c r="H15" s="1">
        <v>15</v>
      </c>
      <c r="I15" s="1"/>
      <c r="J15" s="7">
        <v>10000</v>
      </c>
      <c r="K15" s="1"/>
      <c r="L15" s="7"/>
      <c r="M15" s="1"/>
      <c r="N15" s="7"/>
      <c r="O15" s="8">
        <v>46174</v>
      </c>
    </row>
    <row r="16" spans="1:15" x14ac:dyDescent="0.3">
      <c r="A16" s="1" t="s">
        <v>11</v>
      </c>
      <c r="B16" s="1" t="s">
        <v>19</v>
      </c>
      <c r="C16" s="1" t="s">
        <v>25</v>
      </c>
      <c r="D16" s="1">
        <v>312</v>
      </c>
      <c r="E16" s="4"/>
      <c r="F16" s="7">
        <v>5000</v>
      </c>
      <c r="G16" s="4"/>
      <c r="H16" s="1">
        <v>1</v>
      </c>
      <c r="I16" s="4"/>
      <c r="J16" s="7">
        <v>2000</v>
      </c>
      <c r="K16" s="4"/>
      <c r="L16" s="7"/>
      <c r="M16" s="4"/>
      <c r="N16" s="7"/>
      <c r="O16" s="8">
        <v>46174</v>
      </c>
    </row>
    <row r="17" spans="1:15" x14ac:dyDescent="0.3">
      <c r="A17" s="1" t="s">
        <v>12</v>
      </c>
      <c r="B17" s="1" t="s">
        <v>18</v>
      </c>
      <c r="C17" s="1" t="s">
        <v>21</v>
      </c>
      <c r="D17" s="1">
        <v>486</v>
      </c>
      <c r="E17" s="4">
        <v>0.6</v>
      </c>
      <c r="F17" s="7">
        <v>100000</v>
      </c>
      <c r="G17" s="4">
        <v>0.1</v>
      </c>
      <c r="H17" s="1">
        <v>20</v>
      </c>
      <c r="I17" s="4">
        <v>0.1</v>
      </c>
      <c r="J17" s="7">
        <v>40000</v>
      </c>
      <c r="K17" s="4">
        <v>0.05</v>
      </c>
      <c r="L17" s="7">
        <v>12000</v>
      </c>
      <c r="M17" s="4">
        <v>0.15</v>
      </c>
      <c r="N17" s="7">
        <v>3000</v>
      </c>
      <c r="O17" s="8">
        <v>46174</v>
      </c>
    </row>
    <row r="18" spans="1:15" x14ac:dyDescent="0.3">
      <c r="A18" s="1" t="s">
        <v>52</v>
      </c>
      <c r="B18" s="1" t="s">
        <v>20</v>
      </c>
      <c r="C18" s="1" t="s">
        <v>45</v>
      </c>
      <c r="D18" s="1">
        <v>475</v>
      </c>
      <c r="E18" s="3"/>
      <c r="F18" s="7">
        <v>20000</v>
      </c>
      <c r="G18" s="1"/>
      <c r="H18" s="1">
        <v>10</v>
      </c>
      <c r="I18" s="1"/>
      <c r="J18" s="7">
        <v>10000</v>
      </c>
      <c r="K18" s="1"/>
      <c r="L18" s="7">
        <v>2000</v>
      </c>
      <c r="M18" s="1"/>
      <c r="N18" s="7">
        <v>1000</v>
      </c>
      <c r="O18" s="8">
        <v>46174</v>
      </c>
    </row>
    <row r="19" spans="1:15" x14ac:dyDescent="0.3">
      <c r="A19" s="1" t="s">
        <v>52</v>
      </c>
      <c r="B19" s="1" t="s">
        <v>20</v>
      </c>
      <c r="C19" s="1" t="s">
        <v>47</v>
      </c>
      <c r="D19" s="1">
        <v>477</v>
      </c>
      <c r="E19" s="3"/>
      <c r="F19" s="7">
        <v>30000</v>
      </c>
      <c r="G19" s="1"/>
      <c r="H19" s="1">
        <v>15</v>
      </c>
      <c r="I19" s="1"/>
      <c r="J19" s="7">
        <v>15000</v>
      </c>
      <c r="K19" s="1"/>
      <c r="L19" s="7">
        <v>2000</v>
      </c>
      <c r="M19" s="1"/>
      <c r="N19" s="7">
        <v>1000</v>
      </c>
      <c r="O19" s="8">
        <v>46174</v>
      </c>
    </row>
    <row r="20" spans="1:15" x14ac:dyDescent="0.3">
      <c r="A20" s="1" t="s">
        <v>12</v>
      </c>
      <c r="B20" s="1" t="s">
        <v>19</v>
      </c>
      <c r="C20" s="1" t="s">
        <v>28</v>
      </c>
      <c r="D20" s="1">
        <v>433</v>
      </c>
      <c r="E20" s="4"/>
      <c r="F20" s="7">
        <v>300000</v>
      </c>
      <c r="G20" s="4"/>
      <c r="H20" s="1">
        <v>15</v>
      </c>
      <c r="I20" s="4"/>
      <c r="J20" s="7">
        <v>300000</v>
      </c>
      <c r="K20" s="4"/>
      <c r="L20" s="7"/>
      <c r="M20" s="4">
        <v>0.05</v>
      </c>
      <c r="N20" s="7"/>
      <c r="O20" s="8">
        <v>46174</v>
      </c>
    </row>
    <row r="21" spans="1:15" x14ac:dyDescent="0.3">
      <c r="A21" s="1" t="s">
        <v>52</v>
      </c>
      <c r="B21" s="1" t="s">
        <v>20</v>
      </c>
      <c r="C21" s="1" t="s">
        <v>43</v>
      </c>
      <c r="D21" s="1">
        <v>473</v>
      </c>
      <c r="E21" s="3"/>
      <c r="F21" s="7">
        <v>30000</v>
      </c>
      <c r="G21" s="1"/>
      <c r="H21" s="1">
        <v>15</v>
      </c>
      <c r="I21" s="1"/>
      <c r="J21" s="7">
        <v>20000</v>
      </c>
      <c r="K21" s="1"/>
      <c r="L21" s="7">
        <v>2000</v>
      </c>
      <c r="M21" s="1"/>
      <c r="N21" s="7">
        <v>1000</v>
      </c>
      <c r="O21" s="8">
        <v>46174</v>
      </c>
    </row>
    <row r="22" spans="1:15" x14ac:dyDescent="0.3">
      <c r="A22" s="1" t="s">
        <v>11</v>
      </c>
      <c r="B22" s="1" t="s">
        <v>18</v>
      </c>
      <c r="C22" s="1" t="s">
        <v>16</v>
      </c>
      <c r="D22" s="1">
        <v>438</v>
      </c>
      <c r="E22" s="4">
        <v>0.6</v>
      </c>
      <c r="F22" s="7">
        <v>80000</v>
      </c>
      <c r="G22" s="4">
        <v>0.1</v>
      </c>
      <c r="H22" s="1">
        <v>7</v>
      </c>
      <c r="I22" s="4">
        <v>0.1</v>
      </c>
      <c r="J22" s="7">
        <v>40000</v>
      </c>
      <c r="K22" s="4">
        <v>0.05</v>
      </c>
      <c r="L22" s="7"/>
      <c r="M22" s="4"/>
      <c r="N22" s="7"/>
      <c r="O22" s="8">
        <v>46174</v>
      </c>
    </row>
    <row r="23" spans="1:15" x14ac:dyDescent="0.3">
      <c r="A23" s="1" t="s">
        <v>10</v>
      </c>
      <c r="B23" s="1" t="s">
        <v>18</v>
      </c>
      <c r="C23" s="1" t="s">
        <v>60</v>
      </c>
      <c r="D23" s="1">
        <v>318</v>
      </c>
      <c r="E23" s="4"/>
      <c r="F23" s="7"/>
      <c r="G23" s="4"/>
      <c r="H23" s="1"/>
      <c r="I23" s="4"/>
      <c r="J23" s="7"/>
      <c r="K23" s="4"/>
      <c r="L23" s="7"/>
      <c r="M23" s="4"/>
      <c r="N23" s="7"/>
      <c r="O23" s="8">
        <v>46174</v>
      </c>
    </row>
    <row r="24" spans="1:15" x14ac:dyDescent="0.3">
      <c r="A24" s="1" t="s">
        <v>51</v>
      </c>
      <c r="B24" s="1" t="s">
        <v>20</v>
      </c>
      <c r="C24" s="1" t="s">
        <v>41</v>
      </c>
      <c r="D24" s="1">
        <v>478</v>
      </c>
      <c r="E24" s="3"/>
      <c r="F24" s="7">
        <v>20000</v>
      </c>
      <c r="G24" s="1"/>
      <c r="H24" s="1">
        <v>5</v>
      </c>
      <c r="I24" s="1"/>
      <c r="J24" s="7">
        <v>15000</v>
      </c>
      <c r="K24" s="1"/>
      <c r="L24" s="7"/>
      <c r="M24" s="1"/>
      <c r="N24" s="7"/>
      <c r="O24" s="8">
        <v>46174</v>
      </c>
    </row>
    <row r="25" spans="1:15" x14ac:dyDescent="0.3">
      <c r="A25" s="1" t="s">
        <v>12</v>
      </c>
      <c r="B25" s="1" t="s">
        <v>19</v>
      </c>
      <c r="C25" s="1" t="s">
        <v>27</v>
      </c>
      <c r="D25" s="1">
        <v>428</v>
      </c>
      <c r="E25" s="4"/>
      <c r="F25" s="7">
        <v>50000</v>
      </c>
      <c r="G25" s="4"/>
      <c r="H25" s="1">
        <v>5</v>
      </c>
      <c r="I25" s="4"/>
      <c r="J25" s="7">
        <v>30000</v>
      </c>
      <c r="K25" s="4"/>
      <c r="L25" s="7"/>
      <c r="M25" s="4">
        <v>0.05</v>
      </c>
      <c r="N25" s="7"/>
      <c r="O25" s="8">
        <v>46174</v>
      </c>
    </row>
    <row r="26" spans="1:15" x14ac:dyDescent="0.3">
      <c r="A26" s="1" t="s">
        <v>50</v>
      </c>
      <c r="B26" s="1" t="s">
        <v>20</v>
      </c>
      <c r="C26" s="1" t="s">
        <v>30</v>
      </c>
      <c r="D26" s="1">
        <v>467</v>
      </c>
      <c r="E26" s="4"/>
      <c r="F26" s="7">
        <v>100000</v>
      </c>
      <c r="G26" s="4"/>
      <c r="H26" s="1">
        <v>15</v>
      </c>
      <c r="I26" s="4"/>
      <c r="J26" s="7">
        <v>30000</v>
      </c>
      <c r="K26" s="4"/>
      <c r="L26" s="7">
        <v>2000</v>
      </c>
      <c r="M26" s="4"/>
      <c r="N26" s="7">
        <v>2000</v>
      </c>
      <c r="O26" s="8">
        <v>46174</v>
      </c>
    </row>
    <row r="27" spans="1:15" x14ac:dyDescent="0.3">
      <c r="A27" s="1" t="s">
        <v>12</v>
      </c>
      <c r="B27" s="1" t="s">
        <v>18</v>
      </c>
      <c r="C27" s="1" t="s">
        <v>17</v>
      </c>
      <c r="D27" s="1">
        <v>469</v>
      </c>
      <c r="E27" s="4">
        <v>0.6</v>
      </c>
      <c r="F27" s="7">
        <v>100000</v>
      </c>
      <c r="G27" s="4">
        <v>0.1</v>
      </c>
      <c r="H27" s="1">
        <v>20</v>
      </c>
      <c r="I27" s="4">
        <v>0.1</v>
      </c>
      <c r="J27" s="7">
        <v>40000</v>
      </c>
      <c r="K27" s="4">
        <v>0.05</v>
      </c>
      <c r="L27" s="7">
        <v>12000</v>
      </c>
      <c r="M27" s="4">
        <v>0.15</v>
      </c>
      <c r="N27" s="7">
        <v>3000</v>
      </c>
      <c r="O27" s="8">
        <v>46174</v>
      </c>
    </row>
    <row r="28" spans="1:15" x14ac:dyDescent="0.3">
      <c r="A28" s="1" t="s">
        <v>51</v>
      </c>
      <c r="B28" s="1" t="s">
        <v>20</v>
      </c>
      <c r="C28" s="1" t="s">
        <v>39</v>
      </c>
      <c r="D28" s="1">
        <v>464</v>
      </c>
      <c r="E28" s="4"/>
      <c r="F28" s="7">
        <v>30000</v>
      </c>
      <c r="G28" s="4"/>
      <c r="H28" s="1">
        <v>15</v>
      </c>
      <c r="I28" s="4"/>
      <c r="J28" s="7">
        <v>20000</v>
      </c>
      <c r="K28" s="4"/>
      <c r="L28" s="7">
        <v>2000</v>
      </c>
      <c r="M28" s="4"/>
      <c r="N28" s="7"/>
      <c r="O28" s="8">
        <v>46174</v>
      </c>
    </row>
    <row r="29" spans="1:15" x14ac:dyDescent="0.3">
      <c r="A29" s="1" t="s">
        <v>50</v>
      </c>
      <c r="B29" s="1" t="s">
        <v>20</v>
      </c>
      <c r="C29" s="1" t="s">
        <v>36</v>
      </c>
      <c r="D29" s="1">
        <v>471</v>
      </c>
      <c r="E29" s="4"/>
      <c r="F29" s="7">
        <v>50000</v>
      </c>
      <c r="G29" s="4"/>
      <c r="H29" s="1">
        <v>15</v>
      </c>
      <c r="I29" s="4"/>
      <c r="J29" s="7">
        <v>30000</v>
      </c>
      <c r="K29" s="4"/>
      <c r="L29" s="7">
        <v>2000</v>
      </c>
      <c r="M29" s="4"/>
      <c r="N29" s="7"/>
      <c r="O29" s="8">
        <v>46174</v>
      </c>
    </row>
    <row r="30" spans="1:15" x14ac:dyDescent="0.3">
      <c r="A30" s="1" t="s">
        <v>12</v>
      </c>
      <c r="B30" s="1" t="s">
        <v>18</v>
      </c>
      <c r="C30" s="1" t="s">
        <v>13</v>
      </c>
      <c r="D30" s="1">
        <v>470</v>
      </c>
      <c r="E30" s="4"/>
      <c r="F30" s="7">
        <v>550000</v>
      </c>
      <c r="G30" s="4"/>
      <c r="H30" s="1">
        <v>5</v>
      </c>
      <c r="I30" s="4"/>
      <c r="J30" s="7">
        <v>500000</v>
      </c>
      <c r="K30" s="4"/>
      <c r="L30" s="7"/>
      <c r="M30" s="4"/>
      <c r="N30" s="7"/>
      <c r="O30" s="8">
        <v>46174</v>
      </c>
    </row>
    <row r="31" spans="1:15" x14ac:dyDescent="0.3">
      <c r="A31" s="1" t="s">
        <v>52</v>
      </c>
      <c r="B31" s="1" t="s">
        <v>20</v>
      </c>
      <c r="C31" s="1" t="s">
        <v>49</v>
      </c>
      <c r="D31" s="1">
        <v>481</v>
      </c>
      <c r="E31" s="3"/>
      <c r="F31" s="7">
        <v>20000</v>
      </c>
      <c r="G31" s="1"/>
      <c r="H31" s="1">
        <v>10</v>
      </c>
      <c r="I31" s="1"/>
      <c r="J31" s="7">
        <v>10000</v>
      </c>
      <c r="K31" s="1"/>
      <c r="L31" s="7"/>
      <c r="M31" s="1"/>
      <c r="N31" s="7"/>
      <c r="O31" s="8">
        <v>46174</v>
      </c>
    </row>
    <row r="32" spans="1:15" x14ac:dyDescent="0.3">
      <c r="A32" s="1" t="s">
        <v>10</v>
      </c>
      <c r="B32" s="1" t="s">
        <v>18</v>
      </c>
      <c r="C32" s="1" t="s">
        <v>9</v>
      </c>
      <c r="D32" s="1">
        <v>468</v>
      </c>
      <c r="E32" s="4">
        <v>0.6</v>
      </c>
      <c r="F32" s="7">
        <v>250000</v>
      </c>
      <c r="G32" s="4">
        <v>0.1</v>
      </c>
      <c r="H32" s="1">
        <v>20</v>
      </c>
      <c r="I32" s="4">
        <v>0.1</v>
      </c>
      <c r="J32" s="7">
        <v>200000</v>
      </c>
      <c r="K32" s="4">
        <v>0.05</v>
      </c>
      <c r="L32" s="7">
        <v>12000</v>
      </c>
      <c r="M32" s="4">
        <v>0.15</v>
      </c>
      <c r="N32" s="7">
        <v>3000</v>
      </c>
      <c r="O32" s="8">
        <v>46174</v>
      </c>
    </row>
    <row r="33" spans="1:15" x14ac:dyDescent="0.3">
      <c r="A33" s="1" t="s">
        <v>50</v>
      </c>
      <c r="B33" s="1" t="s">
        <v>20</v>
      </c>
      <c r="C33" s="1" t="s">
        <v>33</v>
      </c>
      <c r="D33" s="1">
        <v>463</v>
      </c>
      <c r="E33" s="4"/>
      <c r="F33" s="7">
        <v>20000</v>
      </c>
      <c r="G33" s="4"/>
      <c r="H33" s="1">
        <v>10</v>
      </c>
      <c r="I33" s="4"/>
      <c r="J33" s="7">
        <v>10000</v>
      </c>
      <c r="K33" s="4"/>
      <c r="L33" s="7">
        <v>2000</v>
      </c>
      <c r="M33" s="4"/>
      <c r="N33" s="7"/>
      <c r="O33" s="8">
        <v>46174</v>
      </c>
    </row>
    <row r="34" spans="1:15" x14ac:dyDescent="0.3">
      <c r="A34" s="1" t="s">
        <v>11</v>
      </c>
      <c r="B34" s="1" t="s">
        <v>19</v>
      </c>
      <c r="C34" s="1" t="s">
        <v>23</v>
      </c>
      <c r="D34" s="1">
        <v>317</v>
      </c>
      <c r="E34" s="4"/>
      <c r="F34" s="7">
        <v>70000</v>
      </c>
      <c r="G34" s="4"/>
      <c r="H34" s="1">
        <v>14</v>
      </c>
      <c r="I34" s="4"/>
      <c r="J34" s="7">
        <v>50000</v>
      </c>
      <c r="K34" s="4"/>
      <c r="L34" s="7"/>
      <c r="M34" s="4">
        <v>0.05</v>
      </c>
      <c r="N34" s="7"/>
      <c r="O34" s="8">
        <v>46174</v>
      </c>
    </row>
    <row r="35" spans="1:15" x14ac:dyDescent="0.3">
      <c r="A35" s="1" t="s">
        <v>52</v>
      </c>
      <c r="B35" s="1" t="s">
        <v>20</v>
      </c>
      <c r="C35" s="1" t="s">
        <v>46</v>
      </c>
      <c r="D35" s="1">
        <v>476</v>
      </c>
      <c r="E35" s="3"/>
      <c r="F35" s="7">
        <v>60000</v>
      </c>
      <c r="G35" s="1"/>
      <c r="H35" s="1">
        <v>15</v>
      </c>
      <c r="I35" s="1"/>
      <c r="J35" s="7">
        <v>30000</v>
      </c>
      <c r="K35" s="1"/>
      <c r="L35" s="7">
        <v>2000</v>
      </c>
      <c r="M35" s="1"/>
      <c r="N35" s="7">
        <v>1000</v>
      </c>
      <c r="O35" s="8">
        <v>46174</v>
      </c>
    </row>
    <row r="36" spans="1:15" x14ac:dyDescent="0.3">
      <c r="A36" s="1" t="s">
        <v>50</v>
      </c>
      <c r="B36" s="1" t="s">
        <v>20</v>
      </c>
      <c r="C36" s="1" t="s">
        <v>34</v>
      </c>
      <c r="D36" s="1">
        <v>461</v>
      </c>
      <c r="E36" s="4"/>
      <c r="F36" s="7">
        <v>80000</v>
      </c>
      <c r="G36" s="4"/>
      <c r="H36" s="1">
        <v>20</v>
      </c>
      <c r="I36" s="4"/>
      <c r="J36" s="7">
        <v>50000</v>
      </c>
      <c r="K36" s="4"/>
      <c r="L36" s="7">
        <v>2000</v>
      </c>
      <c r="M36" s="4"/>
      <c r="N36" s="7">
        <v>1000</v>
      </c>
      <c r="O36" s="8">
        <v>46174</v>
      </c>
    </row>
    <row r="37" spans="1:15" x14ac:dyDescent="0.3">
      <c r="A37" s="1" t="s">
        <v>51</v>
      </c>
      <c r="B37" s="1" t="s">
        <v>20</v>
      </c>
      <c r="C37" s="1" t="s">
        <v>40</v>
      </c>
      <c r="D37" s="1">
        <v>480</v>
      </c>
      <c r="E37" s="4"/>
      <c r="F37" s="7">
        <v>20000</v>
      </c>
      <c r="G37" s="4"/>
      <c r="H37" s="1">
        <v>5</v>
      </c>
      <c r="I37" s="3"/>
      <c r="J37" s="7">
        <v>15000</v>
      </c>
      <c r="K37" s="4"/>
      <c r="L37" s="7"/>
      <c r="M37" s="4"/>
      <c r="N37" s="7"/>
      <c r="O37" s="8">
        <v>46174</v>
      </c>
    </row>
    <row r="38" spans="1:15" x14ac:dyDescent="0.3">
      <c r="A38" s="1" t="s">
        <v>11</v>
      </c>
      <c r="B38" s="1" t="s">
        <v>19</v>
      </c>
      <c r="C38" s="1" t="s">
        <v>24</v>
      </c>
      <c r="D38" s="1">
        <v>429</v>
      </c>
      <c r="E38" s="4"/>
      <c r="F38" s="7">
        <v>100000</v>
      </c>
      <c r="G38" s="4"/>
      <c r="H38" s="1">
        <v>5</v>
      </c>
      <c r="I38" s="4"/>
      <c r="J38" s="7">
        <v>10000</v>
      </c>
      <c r="K38" s="4"/>
      <c r="L38" s="7"/>
      <c r="M38" s="4">
        <v>0.05</v>
      </c>
      <c r="N38" s="7"/>
      <c r="O38" s="8">
        <v>46174</v>
      </c>
    </row>
    <row r="39" spans="1:15" x14ac:dyDescent="0.3">
      <c r="A39" s="1" t="s">
        <v>52</v>
      </c>
      <c r="B39" s="1" t="s">
        <v>20</v>
      </c>
      <c r="C39" s="10" t="s">
        <v>70</v>
      </c>
      <c r="D39">
        <v>488</v>
      </c>
      <c r="O39" s="8">
        <v>46174</v>
      </c>
    </row>
    <row r="40" spans="1:15" x14ac:dyDescent="0.3">
      <c r="A40" s="1" t="s">
        <v>51</v>
      </c>
      <c r="B40" s="1" t="s">
        <v>20</v>
      </c>
      <c r="C40" s="10" t="s">
        <v>61</v>
      </c>
      <c r="D40">
        <v>483</v>
      </c>
      <c r="O40" s="8">
        <v>46174</v>
      </c>
    </row>
    <row r="41" spans="1:15" x14ac:dyDescent="0.3">
      <c r="A41" s="1" t="s">
        <v>50</v>
      </c>
      <c r="B41" s="1" t="s">
        <v>20</v>
      </c>
      <c r="C41" s="10" t="s">
        <v>62</v>
      </c>
      <c r="D41">
        <v>492</v>
      </c>
      <c r="O41" s="8">
        <v>46174</v>
      </c>
    </row>
    <row r="42" spans="1:15" x14ac:dyDescent="0.3">
      <c r="A42" s="1" t="s">
        <v>50</v>
      </c>
      <c r="B42" s="1" t="s">
        <v>20</v>
      </c>
      <c r="C42" s="10" t="s">
        <v>63</v>
      </c>
      <c r="D42">
        <v>399</v>
      </c>
      <c r="O42" s="8">
        <v>46174</v>
      </c>
    </row>
    <row r="43" spans="1:15" x14ac:dyDescent="0.3">
      <c r="A43" s="1" t="s">
        <v>50</v>
      </c>
      <c r="B43" s="1" t="s">
        <v>20</v>
      </c>
      <c r="C43" s="10" t="s">
        <v>64</v>
      </c>
      <c r="D43">
        <v>493</v>
      </c>
      <c r="O43" s="8">
        <v>46174</v>
      </c>
    </row>
    <row r="44" spans="1:15" x14ac:dyDescent="0.3">
      <c r="A44" s="1" t="s">
        <v>52</v>
      </c>
      <c r="B44" s="1" t="s">
        <v>20</v>
      </c>
      <c r="C44" s="10" t="s">
        <v>65</v>
      </c>
      <c r="D44">
        <v>490</v>
      </c>
      <c r="O44" s="8">
        <v>46174</v>
      </c>
    </row>
    <row r="45" spans="1:15" x14ac:dyDescent="0.3">
      <c r="A45" s="1" t="s">
        <v>51</v>
      </c>
      <c r="B45" s="1" t="s">
        <v>20</v>
      </c>
      <c r="C45" s="10" t="s">
        <v>66</v>
      </c>
      <c r="D45">
        <v>495</v>
      </c>
      <c r="O45" s="8">
        <v>46174</v>
      </c>
    </row>
    <row r="46" spans="1:15" x14ac:dyDescent="0.3">
      <c r="A46" s="1" t="s">
        <v>52</v>
      </c>
      <c r="B46" s="1" t="s">
        <v>20</v>
      </c>
      <c r="C46" s="10" t="s">
        <v>67</v>
      </c>
      <c r="D46">
        <v>489</v>
      </c>
      <c r="O46" s="8">
        <v>46174</v>
      </c>
    </row>
    <row r="47" spans="1:15" x14ac:dyDescent="0.3">
      <c r="A47" s="1" t="s">
        <v>52</v>
      </c>
      <c r="B47" s="1" t="s">
        <v>20</v>
      </c>
      <c r="C47" s="10" t="s">
        <v>68</v>
      </c>
      <c r="D47">
        <v>491</v>
      </c>
      <c r="O47" s="8">
        <v>46174</v>
      </c>
    </row>
    <row r="48" spans="1:15" x14ac:dyDescent="0.3">
      <c r="A48" s="1" t="s">
        <v>52</v>
      </c>
      <c r="B48" s="1" t="s">
        <v>20</v>
      </c>
      <c r="C48" s="10" t="s">
        <v>69</v>
      </c>
      <c r="D48">
        <v>487</v>
      </c>
      <c r="O48" s="8">
        <v>46174</v>
      </c>
    </row>
    <row r="49" spans="1:15" x14ac:dyDescent="0.3">
      <c r="A49" s="1" t="s">
        <v>52</v>
      </c>
      <c r="B49" s="1" t="s">
        <v>20</v>
      </c>
      <c r="C49" s="10" t="s">
        <v>81</v>
      </c>
      <c r="D49">
        <v>498</v>
      </c>
      <c r="O49" s="8">
        <v>46174</v>
      </c>
    </row>
    <row r="50" spans="1:15" x14ac:dyDescent="0.3">
      <c r="A50" s="1" t="s">
        <v>51</v>
      </c>
      <c r="B50" s="1" t="s">
        <v>20</v>
      </c>
      <c r="C50" s="10" t="s">
        <v>82</v>
      </c>
      <c r="D50">
        <v>496</v>
      </c>
      <c r="O50" s="8">
        <v>46174</v>
      </c>
    </row>
    <row r="51" spans="1:15" x14ac:dyDescent="0.3">
      <c r="A51" s="1" t="s">
        <v>51</v>
      </c>
      <c r="B51" s="1" t="s">
        <v>20</v>
      </c>
      <c r="C51" s="10" t="s">
        <v>83</v>
      </c>
      <c r="D51">
        <v>502</v>
      </c>
      <c r="O51" s="8">
        <v>46174</v>
      </c>
    </row>
    <row r="52" spans="1:15" x14ac:dyDescent="0.3">
      <c r="A52" s="1" t="s">
        <v>51</v>
      </c>
      <c r="B52" s="1" t="s">
        <v>20</v>
      </c>
      <c r="C52" s="21" t="s">
        <v>84</v>
      </c>
      <c r="D52">
        <v>501</v>
      </c>
      <c r="O52" s="8">
        <v>46174</v>
      </c>
    </row>
    <row r="53" spans="1:15" x14ac:dyDescent="0.3">
      <c r="A53" s="1" t="s">
        <v>51</v>
      </c>
      <c r="B53" s="1" t="s">
        <v>20</v>
      </c>
      <c r="C53" s="21" t="s">
        <v>85</v>
      </c>
      <c r="D53">
        <v>501</v>
      </c>
      <c r="O53" s="8">
        <v>46174</v>
      </c>
    </row>
    <row r="54" spans="1:15" x14ac:dyDescent="0.3">
      <c r="A54" s="1" t="s">
        <v>51</v>
      </c>
      <c r="B54" s="1" t="s">
        <v>20</v>
      </c>
      <c r="C54" s="21" t="s">
        <v>86</v>
      </c>
      <c r="D54">
        <v>501</v>
      </c>
      <c r="O54" s="8">
        <v>46174</v>
      </c>
    </row>
    <row r="55" spans="1:15" x14ac:dyDescent="0.3">
      <c r="A55" s="1" t="s">
        <v>51</v>
      </c>
      <c r="B55" s="1" t="s">
        <v>20</v>
      </c>
      <c r="C55" s="21" t="s">
        <v>87</v>
      </c>
      <c r="D55">
        <v>500</v>
      </c>
      <c r="O55" s="8">
        <v>46174</v>
      </c>
    </row>
    <row r="56" spans="1:15" x14ac:dyDescent="0.3">
      <c r="C56" s="22"/>
    </row>
  </sheetData>
  <conditionalFormatting sqref="C49:C56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08398-445A-42D1-9E23-A4409AC89A37}">
  <dimension ref="A1:M3"/>
  <sheetViews>
    <sheetView showGridLines="0" workbookViewId="0">
      <selection activeCell="D17" sqref="D17"/>
    </sheetView>
  </sheetViews>
  <sheetFormatPr defaultRowHeight="13.8" x14ac:dyDescent="0.3"/>
  <cols>
    <col min="1" max="1" width="11.33203125" style="12" bestFit="1" customWidth="1"/>
    <col min="2" max="2" width="27.33203125" style="12" bestFit="1" customWidth="1"/>
    <col min="3" max="3" width="27.33203125" style="11" customWidth="1"/>
    <col min="4" max="4" width="18.33203125" style="11" bestFit="1" customWidth="1"/>
    <col min="5" max="5" width="17.77734375" style="11" bestFit="1" customWidth="1"/>
    <col min="6" max="6" width="16.5546875" style="11" bestFit="1" customWidth="1"/>
    <col min="7" max="7" width="16" style="11" bestFit="1" customWidth="1"/>
    <col min="8" max="8" width="25.44140625" style="11" bestFit="1" customWidth="1"/>
    <col min="9" max="9" width="24.77734375" style="11" bestFit="1" customWidth="1"/>
    <col min="10" max="11" width="24.77734375" style="11" customWidth="1"/>
    <col min="12" max="12" width="25.44140625" style="11" bestFit="1" customWidth="1"/>
    <col min="13" max="13" width="24.77734375" style="11" bestFit="1" customWidth="1"/>
    <col min="14" max="16384" width="8.88671875" style="11"/>
  </cols>
  <sheetData>
    <row r="1" spans="1:13" x14ac:dyDescent="0.3">
      <c r="A1" s="13" t="s">
        <v>55</v>
      </c>
      <c r="B1" s="13" t="s">
        <v>71</v>
      </c>
      <c r="C1" s="14" t="s">
        <v>53</v>
      </c>
      <c r="D1" s="20" t="s">
        <v>57</v>
      </c>
      <c r="E1" s="20" t="s">
        <v>56</v>
      </c>
      <c r="F1" s="20" t="s">
        <v>2</v>
      </c>
      <c r="G1" s="20" t="s">
        <v>1</v>
      </c>
      <c r="H1" s="20" t="s">
        <v>74</v>
      </c>
      <c r="I1" s="20" t="s">
        <v>3</v>
      </c>
      <c r="J1" s="20" t="s">
        <v>75</v>
      </c>
      <c r="K1" s="20" t="s">
        <v>5</v>
      </c>
      <c r="L1" s="20" t="s">
        <v>76</v>
      </c>
      <c r="M1" s="20" t="s">
        <v>77</v>
      </c>
    </row>
    <row r="2" spans="1:13" x14ac:dyDescent="0.3">
      <c r="A2" s="15" t="s">
        <v>73</v>
      </c>
      <c r="B2" s="15" t="s">
        <v>79</v>
      </c>
      <c r="C2" s="16">
        <v>46174</v>
      </c>
      <c r="D2" s="17">
        <v>1700000</v>
      </c>
      <c r="E2" s="18">
        <v>0.4</v>
      </c>
      <c r="F2" s="19">
        <v>130</v>
      </c>
      <c r="G2" s="18">
        <v>0.25</v>
      </c>
      <c r="H2" s="17">
        <v>1000000</v>
      </c>
      <c r="I2" s="18">
        <v>0.1</v>
      </c>
      <c r="J2" s="17">
        <v>20000</v>
      </c>
      <c r="K2" s="18">
        <v>0.05</v>
      </c>
      <c r="L2" s="17">
        <v>5000</v>
      </c>
      <c r="M2" s="18">
        <v>0.2</v>
      </c>
    </row>
    <row r="3" spans="1:13" x14ac:dyDescent="0.3">
      <c r="A3" s="15" t="s">
        <v>73</v>
      </c>
      <c r="B3" s="15" t="s">
        <v>80</v>
      </c>
      <c r="C3" s="16">
        <v>46174</v>
      </c>
      <c r="D3" s="17">
        <v>1600000</v>
      </c>
      <c r="E3" s="18">
        <v>0.4</v>
      </c>
      <c r="F3" s="19">
        <v>90</v>
      </c>
      <c r="G3" s="18">
        <v>0.25</v>
      </c>
      <c r="H3" s="17">
        <v>1000000</v>
      </c>
      <c r="I3" s="18">
        <v>0.1</v>
      </c>
      <c r="J3" s="17">
        <v>20000</v>
      </c>
      <c r="K3" s="18">
        <v>0.05</v>
      </c>
      <c r="L3" s="17">
        <v>2000</v>
      </c>
      <c r="M3" s="18">
        <v>0.2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0741B-ED62-42CC-8143-B374D33525D9}">
  <dimension ref="A1:Q3"/>
  <sheetViews>
    <sheetView showGridLines="0" tabSelected="1" workbookViewId="0">
      <selection activeCell="B7" sqref="B7"/>
    </sheetView>
  </sheetViews>
  <sheetFormatPr defaultRowHeight="13.8" x14ac:dyDescent="0.3"/>
  <cols>
    <col min="1" max="1" width="11.33203125" style="12" bestFit="1" customWidth="1"/>
    <col min="2" max="2" width="27.33203125" style="12" bestFit="1" customWidth="1"/>
    <col min="3" max="3" width="27.33203125" style="11" customWidth="1"/>
    <col min="4" max="4" width="18.33203125" style="11" bestFit="1" customWidth="1"/>
    <col min="5" max="5" width="17.77734375" style="11" bestFit="1" customWidth="1"/>
    <col min="6" max="6" width="16.5546875" style="11" bestFit="1" customWidth="1"/>
    <col min="7" max="7" width="16" style="11" bestFit="1" customWidth="1"/>
    <col min="8" max="8" width="25.44140625" style="11" bestFit="1" customWidth="1"/>
    <col min="9" max="9" width="24.77734375" style="11" bestFit="1" customWidth="1"/>
    <col min="10" max="11" width="24.77734375" style="11" customWidth="1"/>
    <col min="12" max="12" width="25.44140625" style="11" bestFit="1" customWidth="1"/>
    <col min="13" max="13" width="24.77734375" style="11" bestFit="1" customWidth="1"/>
    <col min="14" max="14" width="26" style="11" bestFit="1" customWidth="1"/>
    <col min="15" max="15" width="25.5546875" style="11" bestFit="1" customWidth="1"/>
    <col min="16" max="16" width="12.44140625" style="11" bestFit="1" customWidth="1"/>
    <col min="17" max="16384" width="8.88671875" style="11"/>
  </cols>
  <sheetData>
    <row r="1" spans="1:17" x14ac:dyDescent="0.3">
      <c r="A1" s="13" t="s">
        <v>55</v>
      </c>
      <c r="B1" s="13" t="s">
        <v>71</v>
      </c>
      <c r="C1" s="14" t="s">
        <v>53</v>
      </c>
      <c r="D1" s="20" t="s">
        <v>57</v>
      </c>
      <c r="E1" s="20" t="s">
        <v>56</v>
      </c>
      <c r="F1" s="20" t="s">
        <v>2</v>
      </c>
      <c r="G1" s="20" t="s">
        <v>1</v>
      </c>
      <c r="H1" s="20" t="s">
        <v>74</v>
      </c>
      <c r="I1" s="20" t="s">
        <v>3</v>
      </c>
      <c r="J1" s="20" t="s">
        <v>75</v>
      </c>
      <c r="K1" s="20" t="s">
        <v>5</v>
      </c>
      <c r="L1" s="20" t="s">
        <v>76</v>
      </c>
      <c r="M1" s="20" t="s">
        <v>77</v>
      </c>
      <c r="N1" s="20" t="s">
        <v>88</v>
      </c>
      <c r="O1" s="20" t="s">
        <v>89</v>
      </c>
      <c r="P1" s="20" t="s">
        <v>90</v>
      </c>
      <c r="Q1" s="20" t="s">
        <v>91</v>
      </c>
    </row>
    <row r="2" spans="1:17" x14ac:dyDescent="0.3">
      <c r="A2" s="15" t="s">
        <v>72</v>
      </c>
      <c r="B2" s="15" t="s">
        <v>78</v>
      </c>
      <c r="C2" s="16">
        <v>46174</v>
      </c>
      <c r="D2" s="17">
        <v>4100000</v>
      </c>
      <c r="E2" s="18">
        <v>0.8</v>
      </c>
      <c r="F2" s="19">
        <v>380</v>
      </c>
      <c r="G2" s="18">
        <v>0.1</v>
      </c>
      <c r="H2" s="17">
        <v>3100000</v>
      </c>
      <c r="I2" s="18">
        <v>0.05</v>
      </c>
      <c r="J2" s="17">
        <v>100000</v>
      </c>
      <c r="K2" s="18">
        <v>0.05</v>
      </c>
      <c r="L2" s="17">
        <v>20000</v>
      </c>
      <c r="M2" s="18">
        <v>0</v>
      </c>
      <c r="N2" s="17"/>
      <c r="O2" s="18"/>
      <c r="P2" s="17"/>
      <c r="Q2" s="18"/>
    </row>
    <row r="3" spans="1:17" x14ac:dyDescent="0.3">
      <c r="A3" s="15" t="s">
        <v>72</v>
      </c>
      <c r="B3" s="15" t="s">
        <v>78</v>
      </c>
      <c r="C3" s="16">
        <v>46204</v>
      </c>
      <c r="D3" s="17">
        <v>5300000</v>
      </c>
      <c r="E3" s="18">
        <v>0.7</v>
      </c>
      <c r="F3" s="19"/>
      <c r="G3" s="18"/>
      <c r="H3" s="17">
        <v>3000000</v>
      </c>
      <c r="I3" s="18">
        <v>0.05</v>
      </c>
      <c r="J3" s="17">
        <v>300000</v>
      </c>
      <c r="K3" s="18">
        <v>0.05</v>
      </c>
      <c r="L3" s="17"/>
      <c r="M3" s="18"/>
      <c r="N3" s="17">
        <v>80000</v>
      </c>
      <c r="O3" s="18">
        <v>0.1</v>
      </c>
      <c r="P3" s="17">
        <v>35000</v>
      </c>
      <c r="Q3" s="18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META_VENDEDOR</vt:lpstr>
      <vt:lpstr>META_SUPERVISOR</vt:lpstr>
      <vt:lpstr>META_GERENTE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Geovanna Victoria S. Lescano</dc:creator>
  <cp:lastModifiedBy>Matheus Ribeiro</cp:lastModifiedBy>
  <dcterms:created xsi:type="dcterms:W3CDTF">2015-06-05T18:19:34Z</dcterms:created>
  <dcterms:modified xsi:type="dcterms:W3CDTF">2026-07-07T14:47:19Z</dcterms:modified>
</cp:coreProperties>
</file>